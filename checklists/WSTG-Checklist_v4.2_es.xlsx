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20001_{41A7A317-FBD9-43F7-A278-3FC45659EAD4}" xr6:coauthVersionLast="47" xr6:coauthVersionMax="47" xr10:uidLastSave="{00000000-0000-0000-0000-000000000000}"/>
  <bookViews>
    <workbookView xWindow="-19320" yWindow="-120" windowWidth="19440" windowHeight="15000" tabRatio="500" xr2:uid="{00000000-000D-0000-FFFF-FFFF00000000}"/>
  </bookViews>
  <sheets>
    <sheet name="Lista de Pruebas" sheetId="1" r:id="rId1"/>
    <sheet name=" Resumen de hallazgos" sheetId="2" r:id="rId2"/>
    <sheet name=" Calculadora de evaluación de r" sheetId="3" r:id="rId3"/>
    <sheet name="References" sheetId="4" r:id="rId4"/>
  </sheets>
  <definedNames>
    <definedName name="Awareness">References!$M$3:$M$7</definedName>
    <definedName name="EaseofExploit">References!$K$3:$K$7</definedName>
    <definedName name="EasyofDiscovery">References!$I$3:$I$7</definedName>
    <definedName name="FinancialDamage">References!$I$12:$I$16</definedName>
    <definedName name="IntrusionDetection">References!$O$3:$O$7</definedName>
    <definedName name="LossofAccountability">References!$G$12:$G$15</definedName>
    <definedName name="LossofAvailability">References!$E$12:$E$16</definedName>
    <definedName name="LossofConfidentiality">References!$A$12:$A$16</definedName>
    <definedName name="LossofIntegrity">References!$C$12:$C$17</definedName>
    <definedName name="Motive">References!$C$3:$C$6</definedName>
    <definedName name="NonCompliance">References!$M$12:$M$15</definedName>
    <definedName name="Opportunity">References!$E$3:$E$6</definedName>
    <definedName name="PolicyViolation">References!$O$12:$O$16</definedName>
    <definedName name="PopulationSize">References!$G$3:$G$8</definedName>
    <definedName name="ReputationDamage">References!$K$12:$K$16</definedName>
    <definedName name="result">'Lista de Pruebas'!$A$125:$A$127</definedName>
    <definedName name="SkillRequired">References!$A$3:$A$8</definedName>
  </definedNames>
  <calcPr calcId="191028" concurrentCalc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H14" i="3" l="1"/>
  <c r="H13" i="3"/>
  <c r="H12" i="3"/>
  <c r="H11" i="3"/>
  <c r="H8" i="3"/>
  <c r="H7" i="3"/>
  <c r="H6" i="3"/>
  <c r="H5" i="3"/>
  <c r="E14" i="3"/>
  <c r="E13" i="3"/>
  <c r="E12" i="3"/>
  <c r="E11" i="3"/>
  <c r="E8" i="3"/>
  <c r="E7" i="3"/>
  <c r="E6" i="3"/>
  <c r="E5" i="3"/>
  <c r="G16" i="3"/>
  <c r="B16" i="3"/>
  <c r="D26" i="3"/>
  <c r="D24" i="3"/>
  <c r="C26" i="3"/>
  <c r="C24" i="3"/>
  <c r="B26" i="3"/>
  <c r="B24" i="3"/>
  <c r="A26" i="3"/>
  <c r="A24" i="3"/>
  <c r="D25" i="3"/>
  <c r="C25" i="3"/>
  <c r="B25" i="3"/>
  <c r="A25" i="3"/>
  <c r="E20" i="3"/>
  <c r="D23" i="3"/>
  <c r="C23" i="3"/>
  <c r="B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200-000001000000}">
      <text>
        <r>
          <rPr>
            <sz val="10"/>
            <color rgb="FF000000"/>
            <rFont val="Arial"/>
            <charset val="1"/>
          </rPr>
          <t xml:space="preserve"> ¿Qué tan capacitado técnicamente es este grupo de agentes de amenaza?</t>
        </r>
      </text>
    </comment>
    <comment ref="F5" authorId="0" shapeId="0" xr:uid="{00000000-0006-0000-0200-000009000000}">
      <text>
        <r>
          <rPr>
            <sz val="10"/>
            <color rgb="FF000000"/>
            <rFont val="Arial"/>
            <charset val="1"/>
          </rPr>
          <t>¿Cuántos datos podrían divulgarse y qué tan sensibles son?</t>
        </r>
      </text>
    </comment>
    <comment ref="A6" authorId="0" shapeId="0" xr:uid="{00000000-0006-0000-0200-000002000000}">
      <text>
        <r>
          <rPr>
            <sz val="10"/>
            <color rgb="FF000000"/>
            <rFont val="Arial"/>
            <charset val="1"/>
          </rPr>
          <t>¿Qué tan motivado está este grupo de agentes de amenazas para encontrar y explotar esta vulnerabilidad?</t>
        </r>
      </text>
    </comment>
    <comment ref="F6" authorId="0" shapeId="0" xr:uid="{00000000-0006-0000-0200-00000A000000}">
      <text>
        <r>
          <rPr>
            <sz val="10"/>
            <color rgb="FF000000"/>
            <rFont val="Arial"/>
            <charset val="1"/>
          </rPr>
          <t>¿Cuántos datos podrían corromperse y qué tan dañados están?</t>
        </r>
      </text>
    </comment>
    <comment ref="A7" authorId="0" shapeId="0" xr:uid="{00000000-0006-0000-0200-000003000000}">
      <text>
        <r>
          <rPr>
            <sz val="10"/>
            <color rgb="FF000000"/>
            <rFont val="Arial"/>
            <charset val="1"/>
          </rPr>
          <t>¿Qué recursos y oportunidades se requieren para que este grupo de agentes de amenaza encuentre y explote esta vulnerabilidad?</t>
        </r>
      </text>
    </comment>
    <comment ref="F7" authorId="0" shapeId="0" xr:uid="{00000000-0006-0000-0200-00000B000000}">
      <text>
        <r>
          <rPr>
            <sz val="10"/>
            <color rgb="FF000000"/>
            <rFont val="Arial"/>
            <charset val="1"/>
          </rPr>
          <t>¿Cuánto servicio podría perderse y qué tan vital es?</t>
        </r>
      </text>
    </comment>
    <comment ref="A8" authorId="0" shapeId="0" xr:uid="{00000000-0006-0000-0200-000004000000}">
      <text>
        <r>
          <rPr>
            <sz val="10"/>
            <color rgb="FF000000"/>
            <rFont val="Arial"/>
            <charset val="1"/>
          </rPr>
          <t>¿Qué tan grande es este grupo de agentes de amenaza?</t>
        </r>
      </text>
    </comment>
    <comment ref="F8" authorId="0" shapeId="0" xr:uid="{00000000-0006-0000-0200-00000C000000}">
      <text>
        <r>
          <rPr>
            <sz val="10"/>
            <color rgb="FF000000"/>
            <rFont val="Arial"/>
            <charset val="1"/>
          </rPr>
          <t>¿Las acciones de los agentes de amenaza son rastreables hasta un individuo?</t>
        </r>
      </text>
    </comment>
    <comment ref="A11" authorId="0" shapeId="0" xr:uid="{00000000-0006-0000-0200-000005000000}">
      <text>
        <r>
          <rPr>
            <sz val="10"/>
            <color rgb="FF000000"/>
            <rFont val="Arial"/>
            <charset val="1"/>
          </rPr>
          <t>¿Qué tan fácil es para este grupo de agentes de amenazas descubrir esta vulnerabilidad?</t>
        </r>
      </text>
    </comment>
    <comment ref="F11" authorId="0" shapeId="0" xr:uid="{00000000-0006-0000-0200-00000D000000}">
      <text>
        <r>
          <rPr>
            <sz val="10"/>
            <color rgb="FF000000"/>
            <rFont val="Arial"/>
            <charset val="1"/>
          </rPr>
          <t>¿Cuánto daño financiero resultará de un exploit?</t>
        </r>
      </text>
    </comment>
    <comment ref="A12" authorId="0" shapeId="0" xr:uid="{00000000-0006-0000-0200-000006000000}">
      <text>
        <r>
          <rPr>
            <sz val="10"/>
            <color rgb="FF000000"/>
            <rFont val="Arial"/>
            <charset val="1"/>
          </rPr>
          <t>¿Qué tan fácil es para este grupo de agentes de amenaza explotar esta vulnerabilidad?</t>
        </r>
      </text>
    </comment>
    <comment ref="F12" authorId="0" shapeId="0" xr:uid="{00000000-0006-0000-0200-00000E000000}">
      <text>
        <r>
          <rPr>
            <sz val="10"/>
            <color rgb="FF000000"/>
            <rFont val="Arial"/>
            <charset val="1"/>
          </rPr>
          <t>¿Un exploit podría causar un daño a la reputación que perjudicaría al negocio?</t>
        </r>
      </text>
    </comment>
    <comment ref="A13" authorId="0" shapeId="0" xr:uid="{00000000-0006-0000-0200-000007000000}">
      <text>
        <r>
          <rPr>
            <sz val="10"/>
            <color rgb="FF000000"/>
            <rFont val="Arial"/>
            <charset val="1"/>
          </rPr>
          <t>¿Qué tan conocida es esta vulnerabilidad para este grupo de agentes de amenaza?</t>
        </r>
      </text>
    </comment>
    <comment ref="F13" authorId="0" shapeId="0" xr:uid="{00000000-0006-0000-0200-00000F000000}">
      <text>
        <r>
          <rPr>
            <sz val="10"/>
            <color rgb="FF000000"/>
            <rFont val="Arial"/>
            <charset val="1"/>
          </rPr>
          <t>¿Cuánta exposición introduce el incumplimiento?</t>
        </r>
      </text>
    </comment>
    <comment ref="A14" authorId="0" shapeId="0" xr:uid="{00000000-0006-0000-0200-000008000000}">
      <text>
        <r>
          <rPr>
            <sz val="10"/>
            <color rgb="FF000000"/>
            <rFont val="Arial"/>
            <charset val="1"/>
          </rPr>
          <t>¿Qué probabilidad hay de que se detecte un exploit?</t>
        </r>
      </text>
    </comment>
    <comment ref="F14" authorId="0" shapeId="0" xr:uid="{00000000-0006-0000-0200-000010000000}">
      <text>
        <r>
          <rPr>
            <sz val="10"/>
            <color rgb="FF000000"/>
            <rFont val="Arial"/>
            <charset val="1"/>
          </rPr>
          <t>¿Cuánta información de identificación personal podría divulgarse?</t>
        </r>
      </text>
    </comment>
  </commentList>
</comments>
</file>

<file path=xl/sharedStrings.xml><?xml version="1.0" encoding="utf-8"?>
<sst xmlns="http://schemas.openxmlformats.org/spreadsheetml/2006/main" count="639" uniqueCount="416">
  <si>
    <t>OWASP: Lista de verificación de la Guía de pruebas v4.2</t>
  </si>
  <si>
    <t>Recopilación de información</t>
  </si>
  <si>
    <t>Nombre de la prueba</t>
  </si>
  <si>
    <t>Objetivos</t>
  </si>
  <si>
    <t>Estado</t>
  </si>
  <si>
    <t>Notas</t>
  </si>
  <si>
    <t>WSTG-INFO-01</t>
  </si>
  <si>
    <t>Realizar un reconocimiento de motores de búsqueda para detectar fugas de información</t>
  </si>
  <si>
    <t>- Identificar qué información confidencial de diseño y configuración de la aplicación, sistema u organización está expuesta directamente (en el sitio web de la organización) o indirectamente (a través de servicios de terceros).</t>
  </si>
  <si>
    <t>WSTG-INFO-02</t>
  </si>
  <si>
    <t>- Determinar la versión y el tipo de un servidor web en ejecución para permitir una mayor detección de cualquier vulnerabilidad conocida.</t>
  </si>
  <si>
    <t>WSTG-INFO-03</t>
  </si>
  <si>
    <t>Revisar los metarchivos del servidor web para detectar fugas de información</t>
  </si>
  <si>
    <t>Identificar rutas y funcionalidades ocultas u ofuscadas a través del análisis de archivos de metadatos. - Extraer y mapear otra información que podría conducir a una mejor comprensión de los sistemas en cuestión.</t>
  </si>
  <si>
    <t>WSTG-INFO-04</t>
  </si>
  <si>
    <t>Enumerar aplicaciones en el servidor web</t>
  </si>
  <si>
    <t>- Enumerar las aplicaciones dentro del alcance que existen en un servidor web.</t>
  </si>
  <si>
    <t>WSTG-INFO-05</t>
  </si>
  <si>
    <t>Revisar el contenido de la página web para detectar fugas de información</t>
  </si>
  <si>
    <t>- Revisar los comentarios y metadatos de la página web para encontrar cualquier fuga de información. - Recopilar archivos JavaScript y revisar el código JS para comprender mejor la aplicación y encontrar cualquier fuga de información. - Identificar si existen archivos de mapas de origen u otros archivos de depuración del frontend.</t>
  </si>
  <si>
    <t>WSTG-INFO-06</t>
  </si>
  <si>
    <t>Identificar los puntos de entrada de la aplicación</t>
  </si>
  <si>
    <t>- Identificar posibles puntos de entrada e inyección mediante análisis de solicitudes y respuestas.</t>
  </si>
  <si>
    <t>WSTG-INFO-07</t>
  </si>
  <si>
    <t>Mapear rutas de ejecución a través de la aplicación</t>
  </si>
  <si>
    <t>- Mapear la aplicación de destino y comprender los flujos de trabajo principales.</t>
  </si>
  <si>
    <t>WSTG-INFO-08</t>
  </si>
  <si>
    <t>- Identificar los componentes que utilizan las aplicaciones web.</t>
  </si>
  <si>
    <t>WSTG-INFO-09</t>
  </si>
  <si>
    <t>WSTG-INFO-10</t>
  </si>
  <si>
    <t>- Generar un mapa de la aplicación en cuestión en base a la investigación realizada.</t>
  </si>
  <si>
    <t>Pruebas de gestión de configuración e implementación</t>
  </si>
  <si>
    <t>WSTG-CONF-01</t>
  </si>
  <si>
    <t>Configuración de la infraestructura de red de prueba</t>
  </si>
  <si>
    <t>- Revisar las configuraciones de las aplicaciones establecidas en la red y validar que no sean vulnerables. - Validar que los marcos y sistemas utilizados sean seguros y no sean susceptibles a vulnerabilidades conocidas debido a software sin mantenimiento o configuraciones y credenciales predeterminadas.</t>
  </si>
  <si>
    <t>WSTG-CONF-02</t>
  </si>
  <si>
    <t>Configuración de la plataforma de la aplicación de prueba</t>
  </si>
  <si>
    <t>- Asegúrese de que se hayan eliminado los archivos predeterminados y conocidos. - Valide que no queden códigos de depuración ni extensiones en los entornos de producción. - Revise los mecanismos de registro establecidos para la aplicación.</t>
  </si>
  <si>
    <t>WSTG-CONF-03</t>
  </si>
  <si>
    <t>Manejo de extensiones de archivo de prueba para información confidencial</t>
  </si>
  <si>
    <t>- Eliminar extensiones de archivos sensibles o extensiones que puedan contener datos sin procesar (p. ej., scripts, datos sin procesar, credenciales, etc.). - Validar que no existan omisiones del marco del sistema en el conjunto de reglas.</t>
  </si>
  <si>
    <t>WSTG-CONF-04</t>
  </si>
  <si>
    <t>Revisar copias de seguridad antiguas y archivos sin referencia para obtener información confidencial</t>
  </si>
  <si>
    <t>- Busque y analice archivos no referenciados que puedan contener información confidencial.</t>
  </si>
  <si>
    <t>WSTG-CONF-05</t>
  </si>
  <si>
    <t>Enumerar las interfaces de administración de aplicaciones e infraestructura</t>
  </si>
  <si>
    <t>- Identificar interfaces y funcionalidades de administrador ocultas.</t>
  </si>
  <si>
    <t>WSTG-CONF-06</t>
  </si>
  <si>
    <t>Probar métodos HTTP</t>
  </si>
  <si>
    <t>- Enumerar los métodos HTTP admitidos. - Probar la omisión del control de acceso. - Probar las vulnerabilidades de XST. - Probar las técnicas de anulación de métodos HTTP.</t>
  </si>
  <si>
    <t>WSTG-CONF-07</t>
  </si>
  <si>
    <t>Prueba de seguridad de transporte estricta HTTP</t>
  </si>
  <si>
    <t>- Revisar el encabezado HSTS y su validez.</t>
  </si>
  <si>
    <t>WSTG-CONF-08</t>
  </si>
  <si>
    <t>Probar la política entre dominios de RIA</t>
  </si>
  <si>
    <t>- Revisar y validar los archivos de políticas.</t>
  </si>
  <si>
    <t>WSTG-CONF-09</t>
  </si>
  <si>
    <t>Permiso de archivo de prueba</t>
  </si>
  <si>
    <t>- Revise e identifique cualquier permiso de archivo no autorizado.</t>
  </si>
  <si>
    <t>WSTG-CONF-10</t>
  </si>
  <si>
    <t>Prueba de toma de control de subdominio</t>
  </si>
  <si>
    <t>- Enumerar todos los dominios posibles (anteriores y actuales). - Identificar dominios olvidados o mal configurados.</t>
  </si>
  <si>
    <t>WSTG-CONF-11</t>
  </si>
  <si>
    <t>Prueba el almacenamiento en la nube</t>
  </si>
  <si>
    <t>- Evaluar que la configuración del control de acceso para los servicios de almacenamiento esté correctamente establecida.</t>
  </si>
  <si>
    <t>Pruebas de gestión de identidad</t>
  </si>
  <si>
    <t>WSTG-IDNT-01</t>
  </si>
  <si>
    <t>Definiciones de roles de prueba</t>
  </si>
  <si>
    <t>- Identificar y documentar los roles utilizados por la aplicación. - Intentar cambiar, modificar o acceder a otro rol. - Revisar la granularidad de los roles y las necesidades detrás de los permisos otorgados.</t>
  </si>
  <si>
    <t>WSTG-IDNT-02</t>
  </si>
  <si>
    <t>Proceso de registro de usuarios de prueba</t>
  </si>
  <si>
    <t>- Verificar que los requisitos de identidad para el registro de usuarios estén alineados con los requisitos del negocio y de seguridad. - Validar el proceso de registro.</t>
  </si>
  <si>
    <t>WSTG-IDNT-03</t>
  </si>
  <si>
    <t>Proceso de aprovisionamiento de cuentas de prueba</t>
  </si>
  <si>
    <t>- Verificar qué cuentas pueden aprovisionar otras cuentas y de qué tipo.</t>
  </si>
  <si>
    <t>WSTG-IDNT-04</t>
  </si>
  <si>
    <t>Prueba de enumeración de cuentas y cuentas de usuario adivinables</t>
  </si>
  <si>
    <t>- Revisar los procesos relacionados con la identificación de usuarios (por ejemplo, registro, inicio de sesión, etc.). - Enumerar a los usuarios siempre que sea posible a través del análisis de respuestas.</t>
  </si>
  <si>
    <t>WSTG-IDNT-05</t>
  </si>
  <si>
    <t>Prueba de políticas de nombre de usuario débiles o no aplicadas</t>
  </si>
  <si>
    <t>- Determinar si una estructura de nombre de cuenta consistente hace que la aplicación sea vulnerable a la enumeración de cuentas. - Determinar si los mensajes de error de la aplicación permiten la enumeración de cuentas.</t>
  </si>
  <si>
    <t>Pruebas de autenticación</t>
  </si>
  <si>
    <t>WSTG-ATHN-01</t>
  </si>
  <si>
    <t>Prueba de credenciales transportadas a través de un canal cifrado</t>
  </si>
  <si>
    <t>- Evaluar si algún caso de uso del sitio web o la aplicación hace que el servidor o el cliente intercambien credenciales sin cifrado.</t>
  </si>
  <si>
    <t>WSTG-ATHN-02</t>
  </si>
  <si>
    <t>Prueba de credenciales predeterminadas</t>
  </si>
  <si>
    <t>Enumerar las aplicaciones en busca de credenciales predeterminadas y validar si aún existen. - Revisar y evaluar las nuevas cuentas de usuario y si se crean con algún valor predeterminado o patrones identificables.</t>
  </si>
  <si>
    <t>WSTG-ATHN-03</t>
  </si>
  <si>
    <t>Prueba de mecanismo de bloqueo débil</t>
  </si>
  <si>
    <t>- Evaluar la capacidad del mecanismo de bloqueo de cuentas para mitigar la adivinación de contraseñas por fuerza bruta.- Evaluar la resistencia del mecanismo de desbloqueo al desbloqueo de cuentas no autorizado.</t>
  </si>
  <si>
    <t>WSTG-ATHN-04</t>
  </si>
  <si>
    <t>Prueba para eludir el esquema de autenticación</t>
  </si>
  <si>
    <t>- Asegúrese de que la autenticación se aplique en todos los servicios que la requieran.</t>
  </si>
  <si>
    <t>WSTG-ATHN-05</t>
  </si>
  <si>
    <t>Prueba de contraseñas vulnerables</t>
  </si>
  <si>
    <t>- Validar que la sesión generada se gestione de forma segura y no ponga en peligro las credenciales del usuario.</t>
  </si>
  <si>
    <t>WSTG-ATHN-06</t>
  </si>
  <si>
    <t>Prueba de debilidades de la caché del navegador</t>
  </si>
  <si>
    <t>- Revisar si la aplicación almacena información confidencial en el lado del cliente. - Revisar si se puede acceder sin autorización.</t>
  </si>
  <si>
    <t>WSTG-ATHN-07</t>
  </si>
  <si>
    <t>Prueba de políticas de contraseñas débiles</t>
  </si>
  <si>
    <t>- Determinar la resistencia de la aplicación contra la adivinación de contraseñas por fuerza bruta utilizando diccionarios de contraseñas disponibles evaluando los requisitos de longitud, complejidad, reutilización y antigüedad de las contraseñas.</t>
  </si>
  <si>
    <t>WSTG-ATHN-08</t>
  </si>
  <si>
    <t>Prueba de respuesta a preguntas de seguridad débiles</t>
  </si>
  <si>
    <t>- Determinar la complejidad y qué tan directas son las preguntas. - Evaluar las posibles respuestas de los usuarios y las capacidades de fuerza bruta.</t>
  </si>
  <si>
    <t>WSTG-ATHN-09</t>
  </si>
  <si>
    <t>Prueba de funcionalidades débiles de cambio o restablecimiento de contraseña</t>
  </si>
  <si>
    <t>- Determinar la resistencia de la aplicación a la subversión del proceso de cambio de cuenta que permite a alguien cambiar la contraseña de una cuenta. - Determinar la resistencia de la funcionalidad de restablecimiento de contraseñas contra adivinación o elusión.</t>
  </si>
  <si>
    <t>WSTG-ATHN-10</t>
  </si>
  <si>
    <t>Prueba de autenticación más débil en un canal alternativo</t>
  </si>
  <si>
    <t>- Identificar canales de autenticación alternativos. - Evaluar las medidas de seguridad utilizadas y si existen evasiones en los canales alternativos.</t>
  </si>
  <si>
    <t>Pruebas de autorización</t>
  </si>
  <si>
    <t>WSTG-ATHZ-01</t>
  </si>
  <si>
    <t>Prueba de inclusión de archivos en el recorrido de directorios</t>
  </si>
  <si>
    <t>- Identificar los puntos de inyección que pertenecen al recorrido de la ruta. - Evaluar las técnicas de derivación e identificar el grado de recorrido de la ruta.</t>
  </si>
  <si>
    <t>WSTG-ATHZ-02</t>
  </si>
  <si>
    <t>Prueba para eludir el esquema de autorización</t>
  </si>
  <si>
    <t>- Evaluar si es posible el acceso horizontal o vertical.</t>
  </si>
  <si>
    <t>WSTG-ATHZ-03</t>
  </si>
  <si>
    <t>Prueba de escalada de privilegios</t>
  </si>
  <si>
    <t>- Identificar puntos de inyección relacionados con la manipulación de privilegios. - Realizar pruebas de seguridad o intentar eludir de cualquier otra forma las medidas de seguridad.</t>
  </si>
  <si>
    <t>WSTG-ATHZ-04</t>
  </si>
  <si>
    <t>Prueba de referencias directas a objetos inseguras</t>
  </si>
  <si>
    <t>- Identificar puntos donde pueden ocurrir referencias a objetos. - Evaluar las medidas de control de acceso y si son vulnerables a IDOR.</t>
  </si>
  <si>
    <t>Pruebas de gestión de sesiones</t>
  </si>
  <si>
    <t>WSTG-SESS-01</t>
  </si>
  <si>
    <t>Prueba del esquema de gestión de sesiones</t>
  </si>
  <si>
    <t>Recopilar tokens de sesión, para el mismo usuario y para diferentes usuarios cuando sea posible. - Analizar y garantizar que exista suficiente aleatoriedad para detener ataques de falsificación de sesión. - Modificar las cookies que no están firmadas y contienen información que puede ser manipulada.</t>
  </si>
  <si>
    <t>WSTG-SESS-02</t>
  </si>
  <si>
    <t>Prueba de atributos de cookies</t>
  </si>
  <si>
    <t>- Asegúrese de que la configuración de seguridad adecuada esté establecida para las cookies.</t>
  </si>
  <si>
    <t>WSTG-SESS-03</t>
  </si>
  <si>
    <t>Prueba de fijación de sesión</t>
  </si>
  <si>
    <t>- Analizar el mecanismo de autenticación y su flujo. - Forzar cookies y evaluar su impacto.</t>
  </si>
  <si>
    <t>WSTG-SESS-04</t>
  </si>
  <si>
    <t>Prueba de variables de sesión expuestas</t>
  </si>
  <si>
    <t>- Asegúrese de que se implemente el cifrado adecuado. - Revise la configuración de almacenamiento en caché. - Evalúe la seguridad del canal y los métodos.</t>
  </si>
  <si>
    <t>WSTG-SESS-05</t>
  </si>
  <si>
    <t>Prueba de falsificación de solicitudes entre sitios</t>
  </si>
  <si>
    <t>- Determinar si es posible iniciar solicitudes en nombre de un usuario que no sean iniciadas por el propio usuario.</t>
  </si>
  <si>
    <t>WSTG-SESS-06</t>
  </si>
  <si>
    <t>Prueba de la funcionalidad de cierre de sesión</t>
  </si>
  <si>
    <t>Evaluar la interfaz de usuario de cierre de sesión. - Analizar el tiempo de espera de la sesión y si la sesión se cierra correctamente después del cierre de sesión.</t>
  </si>
  <si>
    <t>WSTG-SESS-07</t>
  </si>
  <si>
    <t>Tiempo de espera de la sesión de prueba</t>
  </si>
  <si>
    <t>- Validar que exista un tiempo de espera de sesión estricto.</t>
  </si>
  <si>
    <t>WSTG-SESS-08</t>
  </si>
  <si>
    <t>Pruebas para detectar desconciertos en sesiones</t>
  </si>
  <si>
    <t>- Identificar todas las variables de sesión. - Romper el flujo lógico de generación de sesiones.</t>
  </si>
  <si>
    <t>WSTG-SESS-09</t>
  </si>
  <si>
    <t>Prueba de secuestro de sesión</t>
  </si>
  <si>
    <t>- Identificar cookies de sesión vulnerables. - Secuestrar cookies vulnerables y evaluar el nivel de riesgo.</t>
  </si>
  <si>
    <t>WSTG-INPV-01</t>
  </si>
  <si>
    <t>Prueba de secuencias de comandos entre sitios reflejadas</t>
  </si>
  <si>
    <t>- Identificar las variables que se reflejan en las respuestas. - Evaluar la entrada que aceptan y la codificación que se aplica al devolver (si la hay).</t>
  </si>
  <si>
    <t>WSTG-INPV-02</t>
  </si>
  <si>
    <t>Prueba de secuencias de comandos entre sitios almacenadas</t>
  </si>
  <si>
    <t>- Identificar la entrada almacenada que se refleja en el lado del cliente. - Evaluar la entrada que aceptan y la codificación que se aplica al regresar (si corresponde).</t>
  </si>
  <si>
    <t>WSTG-INPV-03</t>
  </si>
  <si>
    <t>Prueba de manipulación de verbos HTTP</t>
  </si>
  <si>
    <t>WSTG-INPV-04</t>
  </si>
  <si>
    <t>Prueba de contaminación de parámetros HTTP</t>
  </si>
  <si>
    <t>- Identificar el backend y el método de análisis utilizado. - Evaluar los puntos de inyección e intentar omitir los filtros de entrada mediante HPP.</t>
  </si>
  <si>
    <t>WSTG-INPV-05</t>
  </si>
  <si>
    <t>Pruebas de inyección SQL</t>
  </si>
  <si>
    <t>- Identificar puntos de inyección SQL. - Evaluar la gravedad de la inyección y el nivel de acceso que se puede lograr a través de ella.</t>
  </si>
  <si>
    <t>WSTG-INPV-06</t>
  </si>
  <si>
    <t>Prueba de inyección LDAP</t>
  </si>
  <si>
    <t>- Identificar puntos de inyección LDAP. - Evaluar la gravedad de la inyección.</t>
  </si>
  <si>
    <t>WSTG-INPV-07</t>
  </si>
  <si>
    <t>Prueba de inyección XML</t>
  </si>
  <si>
    <t>- Identificar puntos de inyección XML. - Evaluar los tipos de exploits que se pueden lograr y su gravedad.</t>
  </si>
  <si>
    <t>WSTG-INPV-08</t>
  </si>
  <si>
    <t>Prueba de inyección de SSI</t>
  </si>
  <si>
    <t>- Identificar los puntos de inyección de SSI. - Evaluar la gravedad de la inyección.</t>
  </si>
  <si>
    <t>WSTG-INPV-09</t>
  </si>
  <si>
    <t>Prueba de inyección XPath</t>
  </si>
  <si>
    <t>- Identificar puntos de inyección XPATH.</t>
  </si>
  <si>
    <t>WSTG-INPV-10</t>
  </si>
  <si>
    <t>Prueba de inyección SMTP de IMAP</t>
  </si>
  <si>
    <t>Identificar los puntos de inyección IMAP/SMTP. - Comprender el flujo de datos y la estructura de implementación del sistema. - Evaluar los impactos de la inyección.</t>
  </si>
  <si>
    <t>WSTG-INPV-11</t>
  </si>
  <si>
    <t>Pruebas de inyección de código</t>
  </si>
  <si>
    <t>- Identificar los puntos de inyección donde se puede inyectar código en la aplicación. - Evaluar la gravedad de la inyección.</t>
  </si>
  <si>
    <t>WSTG-INPV-12</t>
  </si>
  <si>
    <t>Prueba de inyección de comandos</t>
  </si>
  <si>
    <t>- Identificar y evaluar los puntos de inyección de comando.</t>
  </si>
  <si>
    <t>WSTG-INPV-13</t>
  </si>
  <si>
    <t>Prueba de inyección de cadenas de formato</t>
  </si>
  <si>
    <t>- Evaluar si la inyección de especificadores de conversión de cadenas de formato en campos controlados por el usuario provoca un comportamiento no deseado en la aplicación.</t>
  </si>
  <si>
    <t>WSTG-INPV-14</t>
  </si>
  <si>
    <t>Prueba de vulnerabilidad incubada</t>
  </si>
  <si>
    <t>- Identificar las inyecciones que están almacenadas y requieren un paso de recuperación de la inyección almacenada. - Comprender cómo podría ocurrir un paso de recuperación. - Establecer oyentes o activar el paso de recuperación si es posible.</t>
  </si>
  <si>
    <t>WSTG-INPV-15</t>
  </si>
  <si>
    <t>Prueba de contrabando de división de HTTP</t>
  </si>
  <si>
    <t>Evaluar si la aplicación es vulnerable a la división, identificando qué posibles ataques son realizables. - Evaluar si la cadena de comunicación es vulnerable al contrabando, identificando qué posibles ataques son realizables.</t>
  </si>
  <si>
    <t>WSTG-INPV-16</t>
  </si>
  <si>
    <t>Prueba de solicitudes entrantes HTTP</t>
  </si>
  <si>
    <t>- Supervisar todas las solicitudes HTTP entrantes y salientes al servidor web para inspeccionar cualquier solicitud sospechosa. - Supervisar el tráfico HTTP sin cambios en el proxy del navegador del usuario final o la aplicación del lado del cliente.</t>
  </si>
  <si>
    <t>WSTG-INPV-17</t>
  </si>
  <si>
    <t>Prueba de inyección de encabezado de host</t>
  </si>
  <si>
    <t>- Evaluar si el encabezado del host se está analizando dinámicamente en la aplicación. - Omitir los controles de seguridad que dependen del encabezado.</t>
  </si>
  <si>
    <t>WSTG-INPV-18</t>
  </si>
  <si>
    <t>Prueba de inyección de plantillas del lado del servidor</t>
  </si>
  <si>
    <t>- Detectar puntos de vulnerabilidad de inyección de plantillas. - Identificar el motor de plantillas. - Construir el exploit.</t>
  </si>
  <si>
    <t>WSTG-INPV-19</t>
  </si>
  <si>
    <t>Prueba de falsificación de solicitudes del lado del servidor</t>
  </si>
  <si>
    <t>Identificar los puntos de inyección de SSRF. - Probar si los puntos de inyección son explotables. - Evaluar la gravedad de la vulnerabilidad.</t>
  </si>
  <si>
    <t>WSTG-ERRH-01</t>
  </si>
  <si>
    <t>Prueba de manejo inadecuado de errores</t>
  </si>
  <si>
    <t>- Identificar la salida de error existente. - Analizar las diferentes salidas devueltas.</t>
  </si>
  <si>
    <t>WSTG-ERRH-02</t>
  </si>
  <si>
    <t>Prueba de seguimientos de pila</t>
  </si>
  <si>
    <t>Criptografía</t>
  </si>
  <si>
    <t>WSTG-CRYP-01</t>
  </si>
  <si>
    <t>Prueba de seguridad de la capa de transporte débil</t>
  </si>
  <si>
    <t>- Validar la configuración del servicio. - Revisar la solidez criptográfica y la validez del certificado digital. - Asegurarse de que la seguridad TLS no se pueda eludir y esté correctamente implementada en toda la aplicación.</t>
  </si>
  <si>
    <t>WSTG-CRYP-02</t>
  </si>
  <si>
    <t>Prueba de relleno de Oracle</t>
  </si>
  <si>
    <t>- Identificar los mensajes cifrados que dependen del relleno.- Intentar romper el relleno de los mensajes cifrados y analizar los mensajes de error devueltos para un análisis más detallado.</t>
  </si>
  <si>
    <t>WSTG-CRYP-03</t>
  </si>
  <si>
    <t>Prueba de información confidencial enviada a través de canales no cifrados</t>
  </si>
  <si>
    <t>Identificar la información sensible transmitida a través de los distintos canales. - Evaluar la privacidad y seguridad de los canales utilizados.</t>
  </si>
  <si>
    <t>WSTG-CRYP-04</t>
  </si>
  <si>
    <t>Prueba de cifrado débil</t>
  </si>
  <si>
    <t>- Proporcionar una guía para la identificación de usos e implementaciones de cifrado o hash débiles.</t>
  </si>
  <si>
    <t>Pruebas de lógica empresarial</t>
  </si>
  <si>
    <t>WSTG-BUSL-01</t>
  </si>
  <si>
    <t>Validación de datos de lógica empresarial de prueba</t>
  </si>
  <si>
    <t>- Identificar los puntos de inyección de datos. - Validar que todas las comprobaciones se realicen en el back-end y no se puedan omitir. - Intentar romper el formato de los datos esperados y analizar cómo los maneja la aplicación.</t>
  </si>
  <si>
    <t>WSTG-BUSL-02</t>
  </si>
  <si>
    <t>Capacidad de prueba para falsificar solicitudes</t>
  </si>
  <si>
    <t>- Revisar la documentación del proyecto en busca de funcionalidades adivinables, predecibles u ocultas de los campos. - Insertar datos lógicamente válidos para evitar el flujo de trabajo de lógica empresarial normal.</t>
  </si>
  <si>
    <t>WSTG-BUSL-03</t>
  </si>
  <si>
    <t>Comprobaciones de integridad de las pruebas</t>
  </si>
  <si>
    <t>Revisar la documentación del proyecto para los componentes del sistema que mueven, almacenan o manejan datos. - Determinar qué tipo de datos es lógicamente aceptable para el componente y contra qué tipos debe protegerse el sistema. - Determinar quién debe tener permiso para modificar o leer esos datos en cada componente. - Intentar insertar, actualizar o eliminar valores de datos utilizados por cada componente que no deben permitirse según el flujo de trabajo de lógica empresarial.</t>
  </si>
  <si>
    <t>WSTG-BUSL-04</t>
  </si>
  <si>
    <t>Prueba de sincronización del proceso</t>
  </si>
  <si>
    <t>- Revisar la documentación del proyecto para detectar la funcionalidad del sistema que pueda verse afectada por el tiempo. - Desarrollar y ejecutar casos de uso indebido.</t>
  </si>
  <si>
    <t>WSTG-BUSL-05</t>
  </si>
  <si>
    <t>Número de pruebas de límites de uso de una función</t>
  </si>
  <si>
    <t>- Identificar funciones que deben establecer límites a las veces que pueden ser llamadas. - Evaluar si existe un límite lógico establecido en las funciones y si está debidamente validado.</t>
  </si>
  <si>
    <t>WSTG-BUSL-06</t>
  </si>
  <si>
    <t>Pruebas para la elusión de flujos de trabajo</t>
  </si>
  <si>
    <t>Revisar la documentación del proyecto para encontrar métodos para omitir o seguir los pasos del proceso de solicitud en un orden diferente del flujo de lógica de negocios previsto. - Desarrollar un caso de uso indebido e intentar eludir cada flujo lógico identificado.</t>
  </si>
  <si>
    <t>WSTG-BUSL-07</t>
  </si>
  <si>
    <t>Prueba de defensas contra el uso indebido de aplicaciones</t>
  </si>
  <si>
    <t>- Generar notas de todas las pruebas realizadas contra el sistema. - Revisar qué pruebas tuvieron una funcionalidad diferente según la entrada agresiva. - Comprender las defensas implementadas y verificar si son suficientes para proteger el sistema contra técnicas de evasión.</t>
  </si>
  <si>
    <t>WSTG-BUSL-08</t>
  </si>
  <si>
    <t>Prueba de carga de tipos de archivos inesperados</t>
  </si>
  <si>
    <t>- Revise la documentación del proyecto para ver los tipos de archivos que el sistema rechaza. - Verifique que los tipos de archivos no deseados se rechacen y se manejen de manera segura. - Verifique que las cargas de archivos por lotes sean seguras y no permitan ninguna evasión de las medidas de seguridad establecidas.</t>
  </si>
  <si>
    <t>WSTG-BUSL-09</t>
  </si>
  <si>
    <t>Prueba de carga de archivos maliciosos</t>
  </si>
  <si>
    <t>Identificar la funcionalidad de carga de archivos. - Revisar la documentación del proyecto para identificar qué tipos de archivos se consideran aceptables y cuáles se considerarían peligrosos o maliciosos. - Determinar cómo se procesan los archivos cargados. - Obtener o crear un conjunto de archivos maliciosos para realizar pruebas. - Intentar cargar los archivos maliciosos en la aplicación y determinar si se aceptan y procesan.</t>
  </si>
  <si>
    <t>Pruebas del lado del cliente</t>
  </si>
  <si>
    <t>WSTG-CLNT-01</t>
  </si>
  <si>
    <t>Pruebas de secuencias de comandos entre sitios basadas en DOM</t>
  </si>
  <si>
    <t>- Identificar receptores DOM. - Crear cargas útiles que pertenezcan a cada tipo de receptor.</t>
  </si>
  <si>
    <t>WSTG-CLNT-02</t>
  </si>
  <si>
    <t>Pruebas de ejecución de JavaScript</t>
  </si>
  <si>
    <t>- Identificar sumideros y posibles puntos de inyección de JavaScript.</t>
  </si>
  <si>
    <t>WSTG-CLNT-03</t>
  </si>
  <si>
    <t>Prueba de inyección de HTML</t>
  </si>
  <si>
    <t>- Identificar puntos de inyección HTML y evaluar la gravedad del contenido inyectado.</t>
  </si>
  <si>
    <t>WSTG-CLNT-04</t>
  </si>
  <si>
    <t>Prueba de redirección de URL del lado del cliente</t>
  </si>
  <si>
    <t>- Identificar los puntos de inyección que manejan URL o rutas. - Evaluar las ubicaciones a las que el sistema podría redirigir.</t>
  </si>
  <si>
    <t>WSTG-CLNT-05</t>
  </si>
  <si>
    <t>Prueba de inyección de CSS</t>
  </si>
  <si>
    <t>- Identificar puntos de inyección CSS. - Evaluar el impacto de la inyección.</t>
  </si>
  <si>
    <t>WSTG-CLNT-06</t>
  </si>
  <si>
    <t>Pruebas de manipulación de recursos del lado del cliente</t>
  </si>
  <si>
    <t>- Identificar sumideros con validación de entrada débil. - Evaluar el impacto de la manipulación de recursos.</t>
  </si>
  <si>
    <t>WSTG-CLNT-07</t>
  </si>
  <si>
    <t>Prueba de intercambio de recursos de origen cruzado</t>
  </si>
  <si>
    <t>- Identificar los puntos finales que implementan CORS. - Asegurarse de que la configuración de CORS sea segura o inofensiva.</t>
  </si>
  <si>
    <t>WSTG-CLNT-08</t>
  </si>
  <si>
    <t>Prueba de intermitencia entre sitios</t>
  </si>
  <si>
    <t>- Descompilar y analizar el código de la aplicación. - Evaluar las entradas de los receptores y los usos de métodos inseguros.</t>
  </si>
  <si>
    <t>WSTG-CLNT-09</t>
  </si>
  <si>
    <t>Pruebas de secuestro de clics</t>
  </si>
  <si>
    <t>- Comprender las medidas de seguridad implementadas. - Evaluar qué tan estrictas son las medidas de seguridad y si se pueden eludir.</t>
  </si>
  <si>
    <t>WSTG-CLNT-10</t>
  </si>
  <si>
    <t>Prueba de WebSockets</t>
  </si>
  <si>
    <t>- Identificar el uso de WebSockets. - Evaluar su implementación utilizando las mismas pruebas en canales HTTP normales.</t>
  </si>
  <si>
    <t>WSTG-CLNT-11</t>
  </si>
  <si>
    <t>Prueba de mensajería web</t>
  </si>
  <si>
    <t>Evaluar la seguridad del origen del mensaje. - Validar que esté utilizando métodos seguros y validando su entrada.</t>
  </si>
  <si>
    <t>WSTG-CLNT-12</t>
  </si>
  <si>
    <t>Prueba del almacenamiento del navegador</t>
  </si>
  <si>
    <t>- Determinar si el sitio web está almacenando datos confidenciales en el almacenamiento del lado del cliente. - Se debe examinar el manejo del código de los objetos de almacenamiento para detectar posibilidades de ataques de inyección, como el uso de entradas no validadas o bibliotecas vulnerables.</t>
  </si>
  <si>
    <t>WSTG-CLNT-13</t>
  </si>
  <si>
    <t>Prueba de inclusión de scripts entre sitios</t>
  </si>
  <si>
    <t>- Localizar datos sensibles en todo el sistema. - Evaluar la fuga de datos sensibles a través de diversas técnicas.</t>
  </si>
  <si>
    <t>Pruebas de API</t>
  </si>
  <si>
    <t>WSTG-APIT-01</t>
  </si>
  <si>
    <t>Pruebas de GraphQL</t>
  </si>
  <si>
    <t>- Evaluar que se haya implementado una configuración segura y lista para producción. - Validar todos los campos de entrada contra ataques genéricos. - Asegurarse de que se apliquen los controles de acceso adecuados.</t>
  </si>
  <si>
    <t>N / A</t>
  </si>
  <si>
    <t>No.</t>
  </si>
  <si>
    <t>Nombre de la vulnerabilidad</t>
  </si>
  <si>
    <t xml:space="preserve"> OTG</t>
  </si>
  <si>
    <t>Host/ruta afectado</t>
  </si>
  <si>
    <t>Impacto</t>
  </si>
  <si>
    <t>Probabilidad</t>
  </si>
  <si>
    <t>Riesgo</t>
  </si>
  <si>
    <t>Observación/Implicación</t>
  </si>
  <si>
    <t>Recomendación</t>
  </si>
  <si>
    <t>Prueba de evidencia</t>
  </si>
  <si>
    <t>Inyección SQL</t>
  </si>
  <si>
    <t>www.ejemplo.com/noticias.php (id,página)</t>
  </si>
  <si>
    <t>Alto</t>
  </si>
  <si>
    <t>Moderado</t>
  </si>
  <si>
    <t>xxx-1</t>
  </si>
  <si>
    <t>Calculadora de evaluación de riesgos de OWASP Calculadora de evaluación de riesgos</t>
  </si>
  <si>
    <t>Factores de probabilidad</t>
  </si>
  <si>
    <t>Factores de impacto</t>
  </si>
  <si>
    <t>Factores del agente de amenaza</t>
  </si>
  <si>
    <t>Factores de impacto técnico</t>
  </si>
  <si>
    <t>Habilidades requeridas</t>
  </si>
  <si>
    <t>Algunas habilidades técnicas [3]</t>
  </si>
  <si>
    <t>Pérdida de confidencialidad</t>
  </si>
  <si>
    <t>Datos mínimos no sensibles divulgados [2]</t>
  </si>
  <si>
    <t>Motivo</t>
  </si>
  <si>
    <t>Posible recompensa [4]</t>
  </si>
  <si>
    <t>Pérdida de integridad</t>
  </si>
  <si>
    <t>Todos los datos están totalmente corruptos [9]</t>
  </si>
  <si>
    <t>Oportunidad</t>
  </si>
  <si>
    <t>Se requiere acceso total o recursos costosos [0]</t>
  </si>
  <si>
    <t>Pérdida de disponibilidad</t>
  </si>
  <si>
    <t>Servicios secundarios mínimos interrumpidos [1]</t>
  </si>
  <si>
    <t>Tamaño de la población</t>
  </si>
  <si>
    <t>Administradores de sistemas [2]</t>
  </si>
  <si>
    <t>Pérdida de responsabilidad</t>
  </si>
  <si>
    <t>No aplicable [0]</t>
  </si>
  <si>
    <t>Factores de vulnerabilidad</t>
  </si>
  <si>
    <t>Factores de impacto empresarial</t>
  </si>
  <si>
    <t>Fácil de descubrir</t>
  </si>
  <si>
    <t>Prácticamente imposible [1]</t>
  </si>
  <si>
    <t>Daños financieros</t>
  </si>
  <si>
    <t>Efecto menor en el beneficio anual [3]</t>
  </si>
  <si>
    <t>Facilidad de explotación</t>
  </si>
  <si>
    <t>Fácil [5]</t>
  </si>
  <si>
    <t>Daño a la reputación</t>
  </si>
  <si>
    <t>Pérdida de cuentas importantes [4]</t>
  </si>
  <si>
    <t>Conciencia</t>
  </si>
  <si>
    <t>Oculto [4]</t>
  </si>
  <si>
    <t>Incumplimiento</t>
  </si>
  <si>
    <t>Violación clara [5]</t>
  </si>
  <si>
    <t>Detección de intrusiones</t>
  </si>
  <si>
    <t>Registrado y revisado [3]</t>
  </si>
  <si>
    <t>Violación de la privacidad</t>
  </si>
  <si>
    <t>Un individuo [3]</t>
  </si>
  <si>
    <t>Puntuación de verosimilitud:</t>
  </si>
  <si>
    <t>Puntuación de impacto:</t>
  </si>
  <si>
    <t>Gravedad general del riesgo:</t>
  </si>
  <si>
    <t>Seleccione una opción</t>
  </si>
  <si>
    <t/>
  </si>
  <si>
    <t>Sin habilidades técnicas [1]</t>
  </si>
  <si>
    <t>Recompensa baja o nula [1]</t>
  </si>
  <si>
    <t>Se requieren accesos o recursos especiales [4]</t>
  </si>
  <si>
    <t>Teórico [1]</t>
  </si>
  <si>
    <t>Desconocido [1]</t>
  </si>
  <si>
    <t>Detección activa en la aplicación [1]</t>
  </si>
  <si>
    <t>Se requiere algún acceso o recursos [7]</t>
  </si>
  <si>
    <t>Usuarios de la intranet [4]</t>
  </si>
  <si>
    <t>Difícil [3]</t>
  </si>
  <si>
    <t>Usuario avanzado de computadora [5]</t>
  </si>
  <si>
    <t>Alta recompensa [9]</t>
  </si>
  <si>
    <t>No se requiere acceso ni recursos [9]</t>
  </si>
  <si>
    <t>Socios [5]</t>
  </si>
  <si>
    <t>Fácil [7]</t>
  </si>
  <si>
    <t>Obvio [6]</t>
  </si>
  <si>
    <t>Registrado sin revisión [8]</t>
  </si>
  <si>
    <t>Habilidades de red y programación [6]</t>
  </si>
  <si>
    <t>Usuarios autenticados [6]</t>
  </si>
  <si>
    <t>Herramientas automatizadas disponibles [9]</t>
  </si>
  <si>
    <t>Conocimiento público [9]</t>
  </si>
  <si>
    <t>No registrado [9]</t>
  </si>
  <si>
    <t>Habilidades de penetración de seguridad [9]</t>
  </si>
  <si>
    <t>Usuarios anónimos de Internet [9]</t>
  </si>
  <si>
    <t>Datos mínimos ligeramente corruptos [1]</t>
  </si>
  <si>
    <t>Ataque totalmente rastreable hasta el individuo [1]</t>
  </si>
  <si>
    <t>El daño cuesta menos que arreglar el problema [1]</t>
  </si>
  <si>
    <t>Daños mínimos [1]</t>
  </si>
  <si>
    <t>Infracción menor [2]</t>
  </si>
  <si>
    <t>Se divulgaron numerosos datos no sensibles [6]</t>
  </si>
  <si>
    <t>Datos mínimos gravemente corruptos [3]</t>
  </si>
  <si>
    <t>Servicios primarios mínimos interrumpidos [5]</t>
  </si>
  <si>
    <t>Ataque posiblemente atribuible a un individuo [7]</t>
  </si>
  <si>
    <t>Cientos de personas [5]</t>
  </si>
  <si>
    <t>Se revelaron amplios datos críticos [7]</t>
  </si>
  <si>
    <t>Amplios datos ligeramente corruptos [5]</t>
  </si>
  <si>
    <t>Se interrumpieron amplios servicios primarios [7]</t>
  </si>
  <si>
    <t>Ataque completamente anónimo [9]</t>
  </si>
  <si>
    <t>Efecto significativo en el beneficio anual [7]</t>
  </si>
  <si>
    <t>Pérdida de prestigio [5]</t>
  </si>
  <si>
    <t>Violación de alto perfil [7]</t>
  </si>
  <si>
    <t>Miles de personas [7]</t>
  </si>
  <si>
    <t>Todos los datos divulgados [9]</t>
  </si>
  <si>
    <t>Amplios datos gravemente corruptos [7]</t>
  </si>
  <si>
    <t>Todos los servicios se perdieron por completo [9]</t>
  </si>
  <si>
    <t>Quiebra [9]</t>
  </si>
  <si>
    <t>Daño a la marca [9]</t>
  </si>
  <si>
    <t>Millones de personas [9]</t>
  </si>
  <si>
    <t>Sin Inicar</t>
  </si>
  <si>
    <t>Aprobado</t>
  </si>
  <si>
    <t>Problema</t>
  </si>
  <si>
    <t>Huella del Servidor web</t>
  </si>
  <si>
    <t>Huella del Web Framework</t>
  </si>
  <si>
    <t>Huella de la Aplicación Web</t>
  </si>
  <si>
    <t>Mapa de Arquitectura de la aplicación</t>
  </si>
  <si>
    <t>Pruebas de validación de entradas</t>
  </si>
  <si>
    <t>Pruebas de Manejo de errores</t>
  </si>
  <si>
    <t>Pruebas_de_Seguridad_de_aplicaciones_Web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</si>
</sst>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9"/>
      <color rgb="FF000000"/>
      <name val="Arial"/>
      <charset val="1"/>
    </font>
    <font>
      <i/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9"/>
      <name val="Arial"/>
      <charset val="1"/>
    </font>
    <font>
      <i/>
      <sz val="9"/>
      <color rgb="FF7F7F7F"/>
      <name val="Arial"/>
      <charset val="1"/>
    </font>
    <font>
      <i/>
      <sz val="10"/>
      <color rgb="FF7F7F7F"/>
      <name val="Arial"/>
      <charset val="1"/>
    </font>
    <font>
      <i/>
      <sz val="9"/>
      <color rgb="FF808080"/>
      <name val="Arial"/>
      <charset val="1"/>
    </font>
    <font>
      <b/>
      <sz val="11"/>
      <color rgb="FF000000"/>
      <name val="Calibri"/>
      <charset val="1"/>
    </font>
    <font>
      <b/>
      <sz val="16"/>
      <color rgb="FFFFFFFF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b/>
      <sz val="20"/>
      <color rgb="FF000000"/>
      <name val="Calibri"/>
      <charset val="1"/>
    </font>
    <font>
      <b/>
      <sz val="11"/>
      <color rgb="FF333333"/>
      <name val="Calibri"/>
      <charset val="1"/>
    </font>
    <font>
      <b/>
      <sz val="12"/>
      <color rgb="FF333333"/>
      <name val="Calibri"/>
      <charset val="1"/>
    </font>
    <font>
      <b/>
      <sz val="14"/>
      <color rgb="FF000000"/>
      <name val="Calibri"/>
      <charset val="1"/>
    </font>
    <font>
      <u/>
      <sz val="10"/>
      <color theme="10"/>
      <name val="Arial"/>
      <charset val="1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DB3E2"/>
        <bgColor rgb="FF9999FF"/>
      </patternFill>
    </fill>
    <fill>
      <patternFill patternType="solid">
        <fgColor rgb="FFFFFFFF"/>
        <bgColor rgb="FFEEECE1"/>
      </patternFill>
    </fill>
    <fill>
      <patternFill patternType="solid">
        <fgColor rgb="FFC6D9F0"/>
        <bgColor rgb="FFC6EFCE"/>
      </patternFill>
    </fill>
    <fill>
      <patternFill patternType="solid">
        <fgColor rgb="FFEEECE1"/>
        <bgColor rgb="FFFFFFFF"/>
      </patternFill>
    </fill>
    <fill>
      <patternFill patternType="solid">
        <fgColor rgb="FF1F497D"/>
        <bgColor rgb="FF003366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7030A0"/>
        <bgColor rgb="FF99336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59">
    <xf numFmtId="0" fontId="0" fillId="0" borderId="0" xfId="0"/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0" fillId="3" borderId="1" xfId="0" applyFill="1" applyBorder="1" applyAlignment="1">
      <alignment vertical="center"/>
    </xf>
    <xf numFmtId="0" fontId="7" fillId="3" borderId="1" xfId="0" applyFont="1" applyFill="1" applyBorder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7" fillId="0" borderId="0" xfId="0" applyFon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12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/>
    </xf>
    <xf numFmtId="0" fontId="13" fillId="6" borderId="0" xfId="0" applyFont="1" applyFill="1" applyAlignment="1">
      <alignment horizontal="center" wrapText="1"/>
    </xf>
    <xf numFmtId="0" fontId="12" fillId="7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1" fillId="2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0" fillId="0" borderId="0" xfId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41">
    <dxf>
      <font>
        <name val="Calibri"/>
        <charset val="1"/>
      </font>
      <fill>
        <patternFill patternType="solid">
          <fgColor rgb="FFC6EFCE"/>
          <bgColor rgb="FFC6D9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C6EFCE"/>
          <bgColor rgb="FFC6D9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D050"/>
      </font>
      <fill>
        <patternFill>
          <bgColor rgb="FFFFFFFF"/>
        </patternFill>
      </fill>
    </dxf>
    <dxf>
      <font>
        <color rgb="FFFFFF00"/>
      </font>
      <fill>
        <patternFill>
          <bgColor rgb="FFFFFFFF"/>
        </patternFill>
      </fill>
    </dxf>
    <dxf>
      <font>
        <color rgb="FFFFC000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  <dxf>
      <font>
        <color rgb="FF7030A0"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ont>
        <b/>
      </font>
      <fill>
        <patternFill>
          <bgColor rgb="FFFFFFFF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6EFCE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border outline="0">
        <left style="thin">
          <color auto="1"/>
        </left>
      </border>
    </dxf>
    <dxf>
      <border outline="0">
        <left style="thin">
          <color auto="1"/>
        </left>
      </border>
    </dxf>
    <dxf>
      <font>
        <name val="Calibri"/>
        <charset val="1"/>
      </font>
      <fill>
        <patternFill patternType="solid">
          <fgColor rgb="FFC6EFCE"/>
          <bgColor rgb="FFC6D9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charset val="1"/>
      </font>
      <fill>
        <patternFill patternType="solid">
          <fgColor rgb="FFC6EFCE"/>
          <bgColor rgb="FFC6D9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charset val="1"/>
        <scheme val="none"/>
      </font>
      <fill>
        <patternFill patternType="solid">
          <fgColor rgb="FFC6EFCE"/>
          <bgColor rgb="FFC6D9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charset val="1"/>
      </font>
      <fill>
        <patternFill patternType="solid">
          <fgColor rgb="FFC6EFCE"/>
          <bgColor rgb="FFC6D9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charset val="1"/>
      </font>
      <fill>
        <patternFill patternType="solid">
          <fgColor rgb="FFC6EFCE"/>
          <bgColor rgb="FFC6D9F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border outline="0">
        <left style="thin">
          <color auto="1"/>
        </left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EEECE1"/>
      <rgbColor rgb="FFCCFFFF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DB3E2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90:E93" totalsRowShown="0">
  <tableColumns count="5">
    <tableColumn id="1" xr3:uid="{00000000-0010-0000-0000-000001000000}" name="Cryptography"/>
    <tableColumn id="2" xr3:uid="{00000000-0010-0000-0000-000002000000}" name="Test Name" dataDxfId="40"/>
    <tableColumn id="3" xr3:uid="{00000000-0010-0000-0000-000003000000}" name="Objectives" dataDxfId="39"/>
    <tableColumn id="4" xr3:uid="{00000000-0010-0000-0000-000004000000}" name="Status" dataDxfId="0"/>
    <tableColumn id="5" xr3:uid="{00000000-0010-0000-0000-000005000000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A29:E34" totalsRowShown="0">
  <tableColumns count="5">
    <tableColumn id="1" xr3:uid="{00000000-0010-0000-0100-000001000000}" name="Identity Management Testing"/>
    <tableColumn id="2" xr3:uid="{00000000-0010-0000-0100-000002000000}" name="Test Name"/>
    <tableColumn id="3" xr3:uid="{00000000-0010-0000-0100-000003000000}" name="Objectives"/>
    <tableColumn id="4" xr3:uid="{00000000-0010-0000-0100-000004000000}" name="Status" dataDxfId="20"/>
    <tableColumn id="5" xr3:uid="{00000000-0010-0000-0100-000005000000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A16:E27" totalsRowShown="0">
  <tableColumns count="5">
    <tableColumn id="1" xr3:uid="{00000000-0010-0000-0200-000001000000}" name="Configuration and Deploy Management Testing"/>
    <tableColumn id="2" xr3:uid="{00000000-0010-0000-0200-000002000000}" name="Test Name" dataDxfId="38"/>
    <tableColumn id="3" xr3:uid="{00000000-0010-0000-0200-000003000000}" name="Objectives" dataDxfId="37"/>
    <tableColumn id="4" xr3:uid="{00000000-0010-0000-0200-000004000000}" name="Status" dataDxfId="21"/>
    <tableColumn id="5" xr3:uid="{00000000-0010-0000-0200-000005000000}" name="No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A86:E88" totalsRowShown="0">
  <tableColumns count="5">
    <tableColumn id="1" xr3:uid="{00000000-0010-0000-0300-000001000000}" name="Pruebas de Manejo de errores"/>
    <tableColumn id="2" xr3:uid="{00000000-0010-0000-0300-000002000000}" name="Nombre de la prueba"/>
    <tableColumn id="3" xr3:uid="{00000000-0010-0000-0300-000003000000}" name="Objetivos"/>
    <tableColumn id="4" xr3:uid="{00000000-0010-0000-0300-000004000000}" name="Estado" dataDxfId="1"/>
    <tableColumn id="5" xr3:uid="{00000000-0010-0000-0300-000005000000}" name="Nota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A48:E52" totalsRowShown="0">
  <tableColumns count="5">
    <tableColumn id="1" xr3:uid="{00000000-0010-0000-0400-000001000000}" name="Authorization Testing "/>
    <tableColumn id="2" xr3:uid="{00000000-0010-0000-0400-000002000000}" name="Test Name" dataDxfId="36"/>
    <tableColumn id="3" xr3:uid="{00000000-0010-0000-0400-000003000000}" name="Objectives" dataDxfId="35"/>
    <tableColumn id="4" xr3:uid="{00000000-0010-0000-0400-000004000000}" name="Status" dataDxfId="18"/>
    <tableColumn id="5" xr3:uid="{00000000-0010-0000-0400-000005000000}" name="Note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A54:E62" totalsRowShown="0">
  <tableColumns count="5">
    <tableColumn id="1" xr3:uid="{00000000-0010-0000-0500-000001000000}" name="Session Management Testing"/>
    <tableColumn id="2" xr3:uid="{00000000-0010-0000-0500-000002000000}" name="Test Name" dataDxfId="34"/>
    <tableColumn id="3" xr3:uid="{00000000-0010-0000-0500-000003000000}" name="Objectives" dataDxfId="33"/>
    <tableColumn id="4" xr3:uid="{00000000-0010-0000-0500-000004000000}" name="Status" dataDxfId="17"/>
    <tableColumn id="5" xr3:uid="{00000000-0010-0000-0500-000005000000}" name="Notes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A107:E120" totalsRowShown="0">
  <tableColumns count="5">
    <tableColumn id="1" xr3:uid="{00000000-0010-0000-0600-000001000000}" name="Client Side Testing"/>
    <tableColumn id="2" xr3:uid="{00000000-0010-0000-0600-000002000000}" name="Test Name"/>
    <tableColumn id="3" xr3:uid="{00000000-0010-0000-0600-000003000000}" name="Objectives" dataDxfId="32"/>
    <tableColumn id="4" xr3:uid="{00000000-0010-0000-0600-000004000000}" name="Status"/>
    <tableColumn id="5" xr3:uid="{00000000-0010-0000-0600-000005000000}" name="Note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A36:E46" totalsRowShown="0">
  <tableColumns count="5">
    <tableColumn id="1" xr3:uid="{00000000-0010-0000-0700-000001000000}" name="Authentication Testing"/>
    <tableColumn id="2" xr3:uid="{00000000-0010-0000-0700-000002000000}" name="Test Name" dataDxfId="31"/>
    <tableColumn id="3" xr3:uid="{00000000-0010-0000-0700-000003000000}" name="Objectives" dataDxfId="30"/>
    <tableColumn id="4" xr3:uid="{00000000-0010-0000-0700-000004000000}" name="Status" dataDxfId="19"/>
    <tableColumn id="5" xr3:uid="{00000000-0010-0000-0700-000005000000}" name="Note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A96:E105" totalsRowShown="0">
  <tableColumns count="5">
    <tableColumn id="1" xr3:uid="{00000000-0010-0000-0800-000001000000}" name="Business logic Testing"/>
    <tableColumn id="2" xr3:uid="{00000000-0010-0000-0800-000002000000}" name="Test Name" dataDxfId="29"/>
    <tableColumn id="3" xr3:uid="{00000000-0010-0000-0800-000003000000}" name="Objectives" dataDxfId="28"/>
    <tableColumn id="4" xr3:uid="{00000000-0010-0000-0800-000004000000}" name="Status" dataDxfId="27"/>
    <tableColumn id="5" xr3:uid="{00000000-0010-0000-0800-000005000000}" name="Note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A65:E80" totalsRowShown="0">
  <tableColumns count="5">
    <tableColumn id="1" xr3:uid="{00000000-0010-0000-0900-000001000000}" name="Pruebas de validación de entradas"/>
    <tableColumn id="2" xr3:uid="{00000000-0010-0000-0900-000002000000}" name="Nombre de la prueba" dataDxfId="26"/>
    <tableColumn id="3" xr3:uid="{00000000-0010-0000-0900-000003000000}" name="Objetivos" dataDxfId="25"/>
    <tableColumn id="4" xr3:uid="{00000000-0010-0000-0900-000004000000}" name="Estado" dataDxfId="16"/>
    <tableColumn id="5" xr3:uid="{00000000-0010-0000-0900-000005000000}" name="Nota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A4:E14" totalsRowShown="0">
  <tableColumns count="5">
    <tableColumn id="1" xr3:uid="{00000000-0010-0000-0A00-000001000000}" name="Recopilación de información"/>
    <tableColumn id="2" xr3:uid="{00000000-0010-0000-0A00-000002000000}" name="Nombre de la prueba" dataDxfId="24"/>
    <tableColumn id="3" xr3:uid="{00000000-0010-0000-0A00-000003000000}" name="Objetivos" dataDxfId="23"/>
    <tableColumn id="4" xr3:uid="{00000000-0010-0000-0A00-000004000000}" name="Estado" dataDxfId="22"/>
    <tableColumn id="5" xr3:uid="{00000000-0010-0000-0A00-000005000000}" name="Not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printerSettings" Target="../printerSettings/printerSettings1.bin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hyperlink" Target="https://github.com/oscartobar/wstg-translations-es/tree/version_es_42/document/4-Pruebas_de_Seguridad_de_aplicaciones_Web" TargetMode="External"/><Relationship Id="rId1" Type="http://schemas.openxmlformats.org/officeDocument/2006/relationships/hyperlink" Target="https://github.com/oscartobar/wstg-translations-es/tree/version_es_42/document/4-Pruebas_de_Seguridad_de_aplicaciones_Web" TargetMode="Externa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7"/>
  <sheetViews>
    <sheetView showGridLines="0" tabSelected="1" zoomScaleNormal="100" workbookViewId="0">
      <selection activeCell="C2" sqref="C2"/>
    </sheetView>
  </sheetViews>
  <sheetFormatPr baseColWidth="10" defaultColWidth="14.42578125" defaultRowHeight="12.75" x14ac:dyDescent="0.2"/>
  <cols>
    <col min="1" max="1" width="20.85546875" customWidth="1"/>
    <col min="2" max="2" width="51.28515625" customWidth="1"/>
    <col min="3" max="3" width="53.7109375" customWidth="1"/>
    <col min="4" max="4" width="13" customWidth="1"/>
    <col min="5" max="5" width="25.42578125" customWidth="1"/>
    <col min="6" max="25" width="8.85546875" customWidth="1"/>
    <col min="1024" max="1024" width="11.5703125" customWidth="1"/>
  </cols>
  <sheetData>
    <row r="1" spans="1:25" ht="18" x14ac:dyDescent="0.2">
      <c r="A1" s="44" t="s">
        <v>0</v>
      </c>
      <c r="B1" s="44"/>
      <c r="C1" s="3"/>
    </row>
    <row r="2" spans="1:25" x14ac:dyDescent="0.2">
      <c r="A2" s="58" t="s">
        <v>415</v>
      </c>
      <c r="B2" s="58"/>
      <c r="C2" s="3"/>
    </row>
    <row r="3" spans="1:25" x14ac:dyDescent="0.2">
      <c r="A3" s="2"/>
      <c r="B3" s="2"/>
      <c r="C3" s="3"/>
    </row>
    <row r="4" spans="1:25" ht="25.5" x14ac:dyDescent="0.2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51" x14ac:dyDescent="0.25">
      <c r="A5" s="7" t="s">
        <v>6</v>
      </c>
      <c r="B5" s="8" t="s">
        <v>7</v>
      </c>
      <c r="C5" s="42" t="s">
        <v>8</v>
      </c>
      <c r="D5" s="10" t="s">
        <v>406</v>
      </c>
      <c r="E5" s="11"/>
    </row>
    <row r="6" spans="1:25" ht="38.25" x14ac:dyDescent="0.25">
      <c r="A6" s="12" t="s">
        <v>9</v>
      </c>
      <c r="B6" s="8" t="s">
        <v>409</v>
      </c>
      <c r="C6" s="42" t="s">
        <v>10</v>
      </c>
      <c r="D6" s="10" t="s">
        <v>406</v>
      </c>
      <c r="E6" s="13"/>
    </row>
    <row r="7" spans="1:25" ht="51" x14ac:dyDescent="0.25">
      <c r="A7" s="7" t="s">
        <v>11</v>
      </c>
      <c r="B7" s="57" t="s">
        <v>12</v>
      </c>
      <c r="C7" s="42" t="s">
        <v>13</v>
      </c>
      <c r="D7" s="10" t="s">
        <v>406</v>
      </c>
      <c r="E7" s="11"/>
    </row>
    <row r="8" spans="1:25" ht="25.5" x14ac:dyDescent="0.25">
      <c r="A8" s="7" t="s">
        <v>14</v>
      </c>
      <c r="B8" s="57" t="s">
        <v>15</v>
      </c>
      <c r="C8" s="42" t="s">
        <v>16</v>
      </c>
      <c r="D8" s="10" t="s">
        <v>406</v>
      </c>
      <c r="E8" s="11"/>
    </row>
    <row r="9" spans="1:25" ht="72" x14ac:dyDescent="0.25">
      <c r="A9" s="7" t="s">
        <v>17</v>
      </c>
      <c r="B9" s="57" t="s">
        <v>18</v>
      </c>
      <c r="C9" s="15" t="s">
        <v>19</v>
      </c>
      <c r="D9" s="10" t="s">
        <v>406</v>
      </c>
      <c r="E9" s="11"/>
    </row>
    <row r="10" spans="1:25" ht="24" x14ac:dyDescent="0.25">
      <c r="A10" s="7" t="s">
        <v>20</v>
      </c>
      <c r="B10" s="57" t="s">
        <v>21</v>
      </c>
      <c r="C10" s="15" t="s">
        <v>22</v>
      </c>
      <c r="D10" s="10" t="s">
        <v>406</v>
      </c>
      <c r="E10" s="11"/>
    </row>
    <row r="11" spans="1:25" ht="24" x14ac:dyDescent="0.25">
      <c r="A11" s="7" t="s">
        <v>23</v>
      </c>
      <c r="B11" s="57" t="s">
        <v>24</v>
      </c>
      <c r="C11" s="15" t="s">
        <v>25</v>
      </c>
      <c r="D11" s="10" t="s">
        <v>406</v>
      </c>
      <c r="E11" s="11"/>
    </row>
    <row r="12" spans="1:25" x14ac:dyDescent="0.2">
      <c r="A12" s="7" t="s">
        <v>26</v>
      </c>
      <c r="B12" s="57" t="s">
        <v>410</v>
      </c>
      <c r="C12" s="15" t="s">
        <v>27</v>
      </c>
      <c r="D12" s="10" t="s">
        <v>406</v>
      </c>
      <c r="E12" s="1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x14ac:dyDescent="0.2">
      <c r="A13" s="7" t="s">
        <v>28</v>
      </c>
      <c r="B13" s="57" t="s">
        <v>411</v>
      </c>
      <c r="C13" s="15"/>
      <c r="D13" s="10" t="s">
        <v>406</v>
      </c>
      <c r="E13" s="16"/>
    </row>
    <row r="14" spans="1:25" ht="24" x14ac:dyDescent="0.2">
      <c r="A14" s="7" t="s">
        <v>29</v>
      </c>
      <c r="B14" s="57" t="s">
        <v>412</v>
      </c>
      <c r="C14" s="15" t="s">
        <v>30</v>
      </c>
      <c r="D14" s="10" t="s">
        <v>406</v>
      </c>
      <c r="E14" s="16"/>
    </row>
    <row r="15" spans="1:25" x14ac:dyDescent="0.2">
      <c r="A15" s="6"/>
      <c r="B15" s="17"/>
      <c r="C15" s="18"/>
      <c r="D15" s="19"/>
    </row>
    <row r="16" spans="1:25" ht="38.25" x14ac:dyDescent="0.2">
      <c r="A16" s="56" t="s">
        <v>31</v>
      </c>
      <c r="B16" s="5" t="s">
        <v>2</v>
      </c>
      <c r="C16" s="5" t="s">
        <v>3</v>
      </c>
      <c r="D16" s="5" t="s">
        <v>4</v>
      </c>
      <c r="E16" s="5" t="s">
        <v>5</v>
      </c>
    </row>
    <row r="17" spans="1:25" ht="76.5" x14ac:dyDescent="0.25">
      <c r="A17" s="7" t="s">
        <v>32</v>
      </c>
      <c r="B17" s="14" t="s">
        <v>33</v>
      </c>
      <c r="C17" s="42" t="s">
        <v>34</v>
      </c>
      <c r="D17" s="10" t="s">
        <v>406</v>
      </c>
      <c r="E17" s="11"/>
    </row>
    <row r="18" spans="1:25" ht="63.75" x14ac:dyDescent="0.25">
      <c r="A18" s="7" t="s">
        <v>35</v>
      </c>
      <c r="B18" s="14" t="s">
        <v>36</v>
      </c>
      <c r="C18" s="42" t="s">
        <v>37</v>
      </c>
      <c r="D18" s="10" t="s">
        <v>406</v>
      </c>
      <c r="E18" s="11"/>
    </row>
    <row r="19" spans="1:25" ht="51" x14ac:dyDescent="0.25">
      <c r="A19" s="7" t="s">
        <v>38</v>
      </c>
      <c r="B19" s="14" t="s">
        <v>39</v>
      </c>
      <c r="C19" s="42" t="s">
        <v>40</v>
      </c>
      <c r="D19" s="10" t="s">
        <v>406</v>
      </c>
      <c r="E19" s="11"/>
    </row>
    <row r="20" spans="1:25" ht="25.5" x14ac:dyDescent="0.25">
      <c r="A20" s="7" t="s">
        <v>41</v>
      </c>
      <c r="B20" s="14" t="s">
        <v>42</v>
      </c>
      <c r="C20" s="42" t="s">
        <v>43</v>
      </c>
      <c r="D20" s="10" t="s">
        <v>406</v>
      </c>
      <c r="E20" s="11"/>
    </row>
    <row r="21" spans="1:25" ht="25.5" x14ac:dyDescent="0.25">
      <c r="A21" s="7" t="s">
        <v>44</v>
      </c>
      <c r="B21" s="14" t="s">
        <v>45</v>
      </c>
      <c r="C21" s="42" t="s">
        <v>46</v>
      </c>
      <c r="D21" s="10" t="s">
        <v>406</v>
      </c>
      <c r="E21" s="11"/>
    </row>
    <row r="22" spans="1:25" ht="38.25" x14ac:dyDescent="0.25">
      <c r="A22" s="7" t="s">
        <v>47</v>
      </c>
      <c r="B22" s="14" t="s">
        <v>48</v>
      </c>
      <c r="C22" s="42" t="s">
        <v>49</v>
      </c>
      <c r="D22" s="10" t="s">
        <v>406</v>
      </c>
      <c r="E22" s="11"/>
    </row>
    <row r="23" spans="1:25" ht="15" x14ac:dyDescent="0.25">
      <c r="A23" s="7" t="s">
        <v>50</v>
      </c>
      <c r="B23" s="14" t="s">
        <v>51</v>
      </c>
      <c r="C23" s="42" t="s">
        <v>52</v>
      </c>
      <c r="D23" s="10" t="s">
        <v>406</v>
      </c>
      <c r="E23" s="11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x14ac:dyDescent="0.2">
      <c r="A24" s="7" t="s">
        <v>53</v>
      </c>
      <c r="B24" s="14" t="s">
        <v>54</v>
      </c>
      <c r="C24" s="42" t="s">
        <v>55</v>
      </c>
      <c r="D24" s="10" t="s">
        <v>406</v>
      </c>
      <c r="E24" s="1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25.5" x14ac:dyDescent="0.2">
      <c r="A25" s="7" t="s">
        <v>56</v>
      </c>
      <c r="B25" s="14" t="s">
        <v>57</v>
      </c>
      <c r="C25" s="42" t="s">
        <v>58</v>
      </c>
      <c r="D25" s="10" t="s">
        <v>406</v>
      </c>
      <c r="E25" s="16"/>
    </row>
    <row r="26" spans="1:25" ht="25.5" x14ac:dyDescent="0.2">
      <c r="A26" s="7" t="s">
        <v>59</v>
      </c>
      <c r="B26" s="14" t="s">
        <v>60</v>
      </c>
      <c r="C26" s="42" t="s">
        <v>61</v>
      </c>
      <c r="D26" s="10" t="s">
        <v>406</v>
      </c>
      <c r="E26" s="16"/>
    </row>
    <row r="27" spans="1:25" ht="25.5" x14ac:dyDescent="0.25">
      <c r="A27" s="7" t="s">
        <v>62</v>
      </c>
      <c r="B27" s="14" t="s">
        <v>63</v>
      </c>
      <c r="C27" s="42" t="s">
        <v>64</v>
      </c>
      <c r="D27" s="10" t="s">
        <v>406</v>
      </c>
      <c r="E27" s="11"/>
    </row>
    <row r="28" spans="1:25" x14ac:dyDescent="0.2">
      <c r="A28" s="6"/>
      <c r="B28" s="17"/>
      <c r="C28" s="18"/>
      <c r="D28" s="19"/>
    </row>
    <row r="29" spans="1:25" ht="25.5" x14ac:dyDescent="0.2">
      <c r="A29" s="4" t="s">
        <v>65</v>
      </c>
      <c r="B29" s="5" t="s">
        <v>2</v>
      </c>
      <c r="C29" s="5" t="s">
        <v>3</v>
      </c>
      <c r="D29" s="5" t="s">
        <v>4</v>
      </c>
      <c r="E29" s="5" t="s">
        <v>5</v>
      </c>
    </row>
    <row r="30" spans="1:25" ht="51" x14ac:dyDescent="0.2">
      <c r="A30" s="7" t="s">
        <v>66</v>
      </c>
      <c r="B30" s="14" t="s">
        <v>67</v>
      </c>
      <c r="C30" s="9" t="s">
        <v>68</v>
      </c>
      <c r="D30" s="10" t="s">
        <v>406</v>
      </c>
      <c r="E30" s="16"/>
    </row>
    <row r="31" spans="1:25" ht="38.25" x14ac:dyDescent="0.2">
      <c r="A31" s="7" t="s">
        <v>69</v>
      </c>
      <c r="B31" s="14" t="s">
        <v>70</v>
      </c>
      <c r="C31" s="9" t="s">
        <v>71</v>
      </c>
      <c r="D31" s="10" t="s">
        <v>406</v>
      </c>
      <c r="E31" s="16"/>
    </row>
    <row r="32" spans="1:25" ht="24" x14ac:dyDescent="0.2">
      <c r="A32" s="7" t="s">
        <v>72</v>
      </c>
      <c r="B32" s="14" t="s">
        <v>73</v>
      </c>
      <c r="C32" s="20" t="s">
        <v>74</v>
      </c>
      <c r="D32" s="10" t="s">
        <v>406</v>
      </c>
      <c r="E32" s="16"/>
    </row>
    <row r="33" spans="1:25" ht="51" x14ac:dyDescent="0.2">
      <c r="A33" s="7" t="s">
        <v>75</v>
      </c>
      <c r="B33" s="14" t="s">
        <v>76</v>
      </c>
      <c r="C33" s="9" t="s">
        <v>77</v>
      </c>
      <c r="D33" s="10" t="s">
        <v>406</v>
      </c>
      <c r="E33" s="16"/>
    </row>
    <row r="34" spans="1:25" ht="51" x14ac:dyDescent="0.2">
      <c r="A34" s="7" t="s">
        <v>78</v>
      </c>
      <c r="B34" s="14" t="s">
        <v>79</v>
      </c>
      <c r="C34" s="21" t="s">
        <v>80</v>
      </c>
      <c r="D34" s="10" t="s">
        <v>406</v>
      </c>
      <c r="E34" s="16"/>
    </row>
    <row r="35" spans="1:25" x14ac:dyDescent="0.2">
      <c r="A35" s="6"/>
      <c r="B35" s="17"/>
      <c r="C35" s="18"/>
      <c r="D35" s="19"/>
    </row>
    <row r="36" spans="1:25" ht="25.5" x14ac:dyDescent="0.2">
      <c r="A36" s="4" t="s">
        <v>81</v>
      </c>
      <c r="B36" s="5" t="s">
        <v>2</v>
      </c>
      <c r="C36" s="5" t="s">
        <v>3</v>
      </c>
      <c r="D36" s="5" t="s">
        <v>4</v>
      </c>
      <c r="E36" s="5" t="s">
        <v>5</v>
      </c>
    </row>
    <row r="37" spans="1:25" ht="38.25" x14ac:dyDescent="0.25">
      <c r="A37" s="7" t="s">
        <v>82</v>
      </c>
      <c r="B37" s="41" t="s">
        <v>83</v>
      </c>
      <c r="C37" s="42" t="s">
        <v>84</v>
      </c>
      <c r="D37" s="10" t="s">
        <v>406</v>
      </c>
      <c r="E37" s="11"/>
    </row>
    <row r="38" spans="1:25" ht="51" x14ac:dyDescent="0.25">
      <c r="A38" s="7" t="s">
        <v>85</v>
      </c>
      <c r="B38" s="17" t="s">
        <v>86</v>
      </c>
      <c r="C38" s="42" t="s">
        <v>87</v>
      </c>
      <c r="D38" s="10" t="s">
        <v>406</v>
      </c>
      <c r="E38" s="11"/>
    </row>
    <row r="39" spans="1:25" ht="51" x14ac:dyDescent="0.25">
      <c r="A39" s="7" t="s">
        <v>88</v>
      </c>
      <c r="B39" s="41" t="s">
        <v>89</v>
      </c>
      <c r="C39" s="42" t="s">
        <v>90</v>
      </c>
      <c r="D39" s="10" t="s">
        <v>406</v>
      </c>
      <c r="E39" s="11"/>
    </row>
    <row r="40" spans="1:25" ht="25.5" x14ac:dyDescent="0.25">
      <c r="A40" s="7" t="s">
        <v>91</v>
      </c>
      <c r="B40" s="41" t="s">
        <v>92</v>
      </c>
      <c r="C40" s="42" t="s">
        <v>93</v>
      </c>
      <c r="D40" s="10" t="s">
        <v>406</v>
      </c>
      <c r="E40" s="11"/>
    </row>
    <row r="41" spans="1:25" ht="25.5" x14ac:dyDescent="0.25">
      <c r="A41" s="7" t="s">
        <v>94</v>
      </c>
      <c r="B41" s="41" t="s">
        <v>95</v>
      </c>
      <c r="C41" s="42" t="s">
        <v>96</v>
      </c>
      <c r="D41" s="10" t="s">
        <v>406</v>
      </c>
      <c r="E41" s="11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38.25" x14ac:dyDescent="0.25">
      <c r="A42" s="7" t="s">
        <v>97</v>
      </c>
      <c r="B42" s="41" t="s">
        <v>98</v>
      </c>
      <c r="C42" s="43" t="s">
        <v>99</v>
      </c>
      <c r="D42" s="10" t="s">
        <v>406</v>
      </c>
      <c r="E42" s="11"/>
    </row>
    <row r="43" spans="1:25" ht="63.75" x14ac:dyDescent="0.25">
      <c r="A43" s="7" t="s">
        <v>100</v>
      </c>
      <c r="B43" s="41" t="s">
        <v>101</v>
      </c>
      <c r="C43" s="42" t="s">
        <v>102</v>
      </c>
      <c r="D43" s="10" t="s">
        <v>406</v>
      </c>
      <c r="E43" s="11"/>
    </row>
    <row r="44" spans="1:25" ht="38.25" x14ac:dyDescent="0.25">
      <c r="A44" s="7" t="s">
        <v>103</v>
      </c>
      <c r="B44" s="41" t="s">
        <v>104</v>
      </c>
      <c r="C44" s="42" t="s">
        <v>105</v>
      </c>
      <c r="D44" s="10" t="s">
        <v>406</v>
      </c>
      <c r="E44" s="11"/>
    </row>
    <row r="45" spans="1:25" ht="63.75" x14ac:dyDescent="0.25">
      <c r="A45" s="7" t="s">
        <v>106</v>
      </c>
      <c r="B45" s="41" t="s">
        <v>107</v>
      </c>
      <c r="C45" s="42" t="s">
        <v>108</v>
      </c>
      <c r="D45" s="10" t="s">
        <v>406</v>
      </c>
      <c r="E45" s="11"/>
    </row>
    <row r="46" spans="1:25" ht="38.25" x14ac:dyDescent="0.25">
      <c r="A46" s="7" t="s">
        <v>109</v>
      </c>
      <c r="B46" s="41" t="s">
        <v>110</v>
      </c>
      <c r="C46" s="42" t="s">
        <v>111</v>
      </c>
      <c r="D46" s="10" t="s">
        <v>406</v>
      </c>
      <c r="E46" s="11"/>
    </row>
    <row r="47" spans="1:25" x14ac:dyDescent="0.2">
      <c r="A47" s="6"/>
      <c r="B47" s="17"/>
      <c r="C47" s="18"/>
      <c r="D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25.5" x14ac:dyDescent="0.2">
      <c r="A48" s="4" t="s">
        <v>112</v>
      </c>
      <c r="B48" s="5" t="s">
        <v>2</v>
      </c>
      <c r="C48" s="5" t="s">
        <v>3</v>
      </c>
      <c r="D48" s="5" t="s">
        <v>4</v>
      </c>
      <c r="E48" s="5" t="s">
        <v>5</v>
      </c>
    </row>
    <row r="49" spans="1:25" ht="38.25" x14ac:dyDescent="0.2">
      <c r="A49" s="7" t="s">
        <v>113</v>
      </c>
      <c r="B49" s="14" t="s">
        <v>114</v>
      </c>
      <c r="C49" s="42" t="s">
        <v>115</v>
      </c>
      <c r="D49" s="10" t="s">
        <v>406</v>
      </c>
      <c r="E49" s="7"/>
    </row>
    <row r="50" spans="1:25" ht="15" x14ac:dyDescent="0.25">
      <c r="A50" s="7" t="s">
        <v>116</v>
      </c>
      <c r="B50" s="14" t="s">
        <v>117</v>
      </c>
      <c r="C50" s="15" t="s">
        <v>118</v>
      </c>
      <c r="D50" s="10" t="s">
        <v>406</v>
      </c>
      <c r="E50" s="11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51" x14ac:dyDescent="0.25">
      <c r="A51" s="7" t="s">
        <v>119</v>
      </c>
      <c r="B51" s="14" t="s">
        <v>120</v>
      </c>
      <c r="C51" s="42" t="s">
        <v>121</v>
      </c>
      <c r="D51" s="10" t="s">
        <v>406</v>
      </c>
      <c r="E51" s="11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38.25" x14ac:dyDescent="0.25">
      <c r="A52" s="7" t="s">
        <v>122</v>
      </c>
      <c r="B52" s="14" t="s">
        <v>123</v>
      </c>
      <c r="C52" s="42" t="s">
        <v>124</v>
      </c>
      <c r="D52" s="10" t="s">
        <v>406</v>
      </c>
      <c r="E52" s="11"/>
    </row>
    <row r="53" spans="1:25" x14ac:dyDescent="0.2">
      <c r="A53" s="17"/>
      <c r="B53" s="17"/>
      <c r="C53" s="3"/>
    </row>
    <row r="54" spans="1:25" ht="25.5" x14ac:dyDescent="0.2">
      <c r="A54" s="4" t="s">
        <v>125</v>
      </c>
      <c r="B54" s="5" t="s">
        <v>2</v>
      </c>
      <c r="C54" s="5" t="s">
        <v>3</v>
      </c>
      <c r="D54" s="5" t="s">
        <v>4</v>
      </c>
      <c r="E54" s="5" t="s">
        <v>5</v>
      </c>
    </row>
    <row r="55" spans="1:25" ht="63.75" x14ac:dyDescent="0.25">
      <c r="A55" s="7" t="s">
        <v>126</v>
      </c>
      <c r="B55" s="14" t="s">
        <v>127</v>
      </c>
      <c r="C55" s="42" t="s">
        <v>128</v>
      </c>
      <c r="D55" s="10" t="s">
        <v>406</v>
      </c>
      <c r="E55" s="11"/>
    </row>
    <row r="56" spans="1:25" ht="25.5" x14ac:dyDescent="0.25">
      <c r="A56" s="7" t="s">
        <v>129</v>
      </c>
      <c r="B56" s="14" t="s">
        <v>130</v>
      </c>
      <c r="C56" s="42" t="s">
        <v>131</v>
      </c>
      <c r="D56" s="10" t="s">
        <v>406</v>
      </c>
      <c r="E56" s="11"/>
    </row>
    <row r="57" spans="1:25" ht="25.5" x14ac:dyDescent="0.2">
      <c r="A57" s="7" t="s">
        <v>132</v>
      </c>
      <c r="B57" s="14" t="s">
        <v>133</v>
      </c>
      <c r="C57" s="42" t="s">
        <v>134</v>
      </c>
      <c r="D57" s="10" t="s">
        <v>406</v>
      </c>
      <c r="E57" s="7"/>
    </row>
    <row r="58" spans="1:25" ht="38.25" x14ac:dyDescent="0.25">
      <c r="A58" s="7" t="s">
        <v>135</v>
      </c>
      <c r="B58" s="14" t="s">
        <v>136</v>
      </c>
      <c r="C58" s="42" t="s">
        <v>137</v>
      </c>
      <c r="D58" s="10" t="s">
        <v>406</v>
      </c>
      <c r="E58" s="11"/>
    </row>
    <row r="59" spans="1:25" ht="25.5" x14ac:dyDescent="0.25">
      <c r="A59" s="7" t="s">
        <v>138</v>
      </c>
      <c r="B59" s="14" t="s">
        <v>139</v>
      </c>
      <c r="C59" s="42" t="s">
        <v>140</v>
      </c>
      <c r="D59" s="10" t="s">
        <v>406</v>
      </c>
      <c r="E59" s="11"/>
    </row>
    <row r="60" spans="1:25" ht="38.25" x14ac:dyDescent="0.25">
      <c r="A60" s="7" t="s">
        <v>141</v>
      </c>
      <c r="B60" s="14" t="s">
        <v>142</v>
      </c>
      <c r="C60" s="42" t="s">
        <v>143</v>
      </c>
      <c r="D60" s="10" t="s">
        <v>406</v>
      </c>
      <c r="E60" s="11"/>
    </row>
    <row r="61" spans="1:25" ht="15" x14ac:dyDescent="0.25">
      <c r="A61" s="7" t="s">
        <v>144</v>
      </c>
      <c r="B61" s="14" t="s">
        <v>145</v>
      </c>
      <c r="C61" s="42" t="s">
        <v>146</v>
      </c>
      <c r="D61" s="10" t="s">
        <v>406</v>
      </c>
      <c r="E61" s="11"/>
    </row>
    <row r="62" spans="1:25" ht="25.5" x14ac:dyDescent="0.2">
      <c r="A62" s="7" t="s">
        <v>147</v>
      </c>
      <c r="B62" s="14" t="s">
        <v>148</v>
      </c>
      <c r="C62" s="42" t="s">
        <v>149</v>
      </c>
      <c r="D62" s="10" t="s">
        <v>406</v>
      </c>
      <c r="E62" s="7"/>
    </row>
    <row r="63" spans="1:25" ht="25.5" x14ac:dyDescent="0.2">
      <c r="A63" s="7" t="s">
        <v>150</v>
      </c>
      <c r="B63" s="14" t="s">
        <v>151</v>
      </c>
      <c r="C63" s="42" t="s">
        <v>152</v>
      </c>
      <c r="D63" s="10" t="s">
        <v>406</v>
      </c>
      <c r="E63" s="7"/>
    </row>
    <row r="64" spans="1:25" x14ac:dyDescent="0.2">
      <c r="A64" s="6"/>
      <c r="B64" s="17"/>
      <c r="C64" s="18"/>
      <c r="D64" s="19"/>
      <c r="E64" s="6"/>
    </row>
    <row r="65" spans="1:25" ht="38.25" x14ac:dyDescent="0.2">
      <c r="A65" s="4" t="s">
        <v>413</v>
      </c>
      <c r="B65" s="5" t="s">
        <v>2</v>
      </c>
      <c r="C65" s="5" t="s">
        <v>3</v>
      </c>
      <c r="D65" s="5" t="s">
        <v>4</v>
      </c>
      <c r="E65" s="5" t="s">
        <v>5</v>
      </c>
    </row>
    <row r="66" spans="1:25" ht="38.25" x14ac:dyDescent="0.25">
      <c r="A66" s="7" t="s">
        <v>153</v>
      </c>
      <c r="B66" s="14" t="s">
        <v>154</v>
      </c>
      <c r="C66" s="42" t="s">
        <v>155</v>
      </c>
      <c r="D66" s="10" t="s">
        <v>406</v>
      </c>
      <c r="E66" s="11"/>
    </row>
    <row r="67" spans="1:25" ht="38.25" x14ac:dyDescent="0.25">
      <c r="A67" s="7" t="s">
        <v>156</v>
      </c>
      <c r="B67" s="14" t="s">
        <v>157</v>
      </c>
      <c r="C67" s="42" t="s">
        <v>158</v>
      </c>
      <c r="D67" s="10" t="s">
        <v>406</v>
      </c>
      <c r="E67" s="11"/>
    </row>
    <row r="68" spans="1:25" x14ac:dyDescent="0.2">
      <c r="A68" s="7" t="s">
        <v>159</v>
      </c>
      <c r="B68" s="14" t="s">
        <v>160</v>
      </c>
      <c r="C68" s="15"/>
      <c r="D68" s="10" t="s">
        <v>406</v>
      </c>
      <c r="E68" s="7"/>
    </row>
    <row r="69" spans="1:25" ht="38.25" x14ac:dyDescent="0.25">
      <c r="A69" s="7" t="s">
        <v>161</v>
      </c>
      <c r="B69" s="14" t="s">
        <v>162</v>
      </c>
      <c r="C69" s="42" t="s">
        <v>163</v>
      </c>
      <c r="D69" s="10" t="s">
        <v>406</v>
      </c>
      <c r="E69" s="11"/>
    </row>
    <row r="70" spans="1:25" ht="38.25" x14ac:dyDescent="0.25">
      <c r="A70" s="7" t="s">
        <v>164</v>
      </c>
      <c r="B70" s="14" t="s">
        <v>165</v>
      </c>
      <c r="C70" s="42" t="s">
        <v>166</v>
      </c>
      <c r="D70" s="10" t="s">
        <v>406</v>
      </c>
      <c r="E70" s="11"/>
    </row>
    <row r="71" spans="1:25" ht="25.5" x14ac:dyDescent="0.25">
      <c r="A71" s="7" t="s">
        <v>167</v>
      </c>
      <c r="B71" s="14" t="s">
        <v>168</v>
      </c>
      <c r="C71" s="42" t="s">
        <v>169</v>
      </c>
      <c r="D71" s="10" t="s">
        <v>406</v>
      </c>
      <c r="E71" s="11"/>
    </row>
    <row r="72" spans="1:25" ht="25.5" x14ac:dyDescent="0.25">
      <c r="A72" s="7" t="s">
        <v>170</v>
      </c>
      <c r="B72" s="14" t="s">
        <v>171</v>
      </c>
      <c r="C72" s="42" t="s">
        <v>172</v>
      </c>
      <c r="D72" s="10" t="s">
        <v>406</v>
      </c>
      <c r="E72" s="11"/>
    </row>
    <row r="73" spans="1:25" ht="25.5" x14ac:dyDescent="0.25">
      <c r="A73" s="7" t="s">
        <v>173</v>
      </c>
      <c r="B73" s="14" t="s">
        <v>174</v>
      </c>
      <c r="C73" s="42" t="s">
        <v>175</v>
      </c>
      <c r="D73" s="10" t="s">
        <v>406</v>
      </c>
      <c r="E73" s="11"/>
    </row>
    <row r="74" spans="1:25" ht="15" x14ac:dyDescent="0.25">
      <c r="A74" s="7" t="s">
        <v>176</v>
      </c>
      <c r="B74" s="14" t="s">
        <v>177</v>
      </c>
      <c r="C74" s="42" t="s">
        <v>178</v>
      </c>
      <c r="D74" s="10" t="s">
        <v>406</v>
      </c>
      <c r="E74" s="11"/>
    </row>
    <row r="75" spans="1:25" ht="38.25" x14ac:dyDescent="0.25">
      <c r="A75" s="7" t="s">
        <v>179</v>
      </c>
      <c r="B75" s="14" t="s">
        <v>180</v>
      </c>
      <c r="C75" s="42" t="s">
        <v>181</v>
      </c>
      <c r="D75" s="10" t="s">
        <v>406</v>
      </c>
      <c r="E75" s="11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25.5" x14ac:dyDescent="0.2">
      <c r="A76" s="7" t="s">
        <v>182</v>
      </c>
      <c r="B76" s="14" t="s">
        <v>183</v>
      </c>
      <c r="C76" s="42" t="s">
        <v>184</v>
      </c>
      <c r="D76" s="10" t="s">
        <v>406</v>
      </c>
      <c r="E76" s="16"/>
    </row>
    <row r="77" spans="1:25" x14ac:dyDescent="0.2">
      <c r="A77" s="7" t="s">
        <v>185</v>
      </c>
      <c r="B77" s="14" t="s">
        <v>186</v>
      </c>
      <c r="C77" s="42" t="s">
        <v>187</v>
      </c>
      <c r="D77" s="10" t="s">
        <v>406</v>
      </c>
      <c r="E77" s="16"/>
    </row>
    <row r="78" spans="1:25" ht="38.25" x14ac:dyDescent="0.2">
      <c r="A78" s="7" t="s">
        <v>188</v>
      </c>
      <c r="B78" s="14" t="s">
        <v>189</v>
      </c>
      <c r="C78" s="42" t="s">
        <v>190</v>
      </c>
      <c r="D78" s="10" t="s">
        <v>406</v>
      </c>
      <c r="E78" s="16"/>
    </row>
    <row r="79" spans="1:25" ht="63.75" x14ac:dyDescent="0.2">
      <c r="A79" s="7" t="s">
        <v>191</v>
      </c>
      <c r="B79" s="14" t="s">
        <v>192</v>
      </c>
      <c r="C79" s="42" t="s">
        <v>193</v>
      </c>
      <c r="D79" s="10" t="s">
        <v>406</v>
      </c>
      <c r="E79" s="16"/>
    </row>
    <row r="80" spans="1:25" ht="51" x14ac:dyDescent="0.2">
      <c r="A80" s="7" t="s">
        <v>194</v>
      </c>
      <c r="B80" s="14" t="s">
        <v>195</v>
      </c>
      <c r="C80" s="42" t="s">
        <v>196</v>
      </c>
      <c r="D80" s="10" t="s">
        <v>406</v>
      </c>
      <c r="E80" s="16"/>
    </row>
    <row r="81" spans="1:25" ht="63.75" x14ac:dyDescent="0.2">
      <c r="A81" s="7" t="s">
        <v>197</v>
      </c>
      <c r="B81" s="14" t="s">
        <v>198</v>
      </c>
      <c r="C81" s="42" t="s">
        <v>199</v>
      </c>
      <c r="D81" s="10" t="s">
        <v>406</v>
      </c>
      <c r="E81" s="16"/>
    </row>
    <row r="82" spans="1:25" ht="38.25" x14ac:dyDescent="0.2">
      <c r="A82" s="7" t="s">
        <v>200</v>
      </c>
      <c r="B82" s="14" t="s">
        <v>201</v>
      </c>
      <c r="C82" s="42" t="s">
        <v>202</v>
      </c>
      <c r="D82" s="10" t="s">
        <v>406</v>
      </c>
      <c r="E82" s="16"/>
    </row>
    <row r="83" spans="1:25" ht="25.5" x14ac:dyDescent="0.2">
      <c r="A83" s="7" t="s">
        <v>203</v>
      </c>
      <c r="B83" s="14" t="s">
        <v>204</v>
      </c>
      <c r="C83" s="42" t="s">
        <v>205</v>
      </c>
      <c r="D83" s="10" t="s">
        <v>406</v>
      </c>
      <c r="E83" s="16"/>
    </row>
    <row r="84" spans="1:25" ht="38.25" x14ac:dyDescent="0.2">
      <c r="A84" s="7" t="s">
        <v>206</v>
      </c>
      <c r="B84" s="14" t="s">
        <v>207</v>
      </c>
      <c r="C84" s="42" t="s">
        <v>208</v>
      </c>
      <c r="D84" s="10" t="s">
        <v>406</v>
      </c>
      <c r="E84" s="16"/>
    </row>
    <row r="85" spans="1:25" x14ac:dyDescent="0.2">
      <c r="A85" s="6"/>
      <c r="B85" s="17"/>
      <c r="C85" s="22"/>
      <c r="D85" s="19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25.5" x14ac:dyDescent="0.2">
      <c r="A86" s="4" t="s">
        <v>414</v>
      </c>
      <c r="B86" s="5" t="s">
        <v>2</v>
      </c>
      <c r="C86" s="5" t="s">
        <v>3</v>
      </c>
      <c r="D86" s="5" t="s">
        <v>4</v>
      </c>
      <c r="E86" s="5" t="s">
        <v>5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25.5" x14ac:dyDescent="0.2">
      <c r="A87" s="7" t="s">
        <v>209</v>
      </c>
      <c r="B87" s="14" t="s">
        <v>210</v>
      </c>
      <c r="C87" s="9" t="s">
        <v>211</v>
      </c>
      <c r="D87" s="10" t="s">
        <v>406</v>
      </c>
      <c r="E87" s="1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x14ac:dyDescent="0.2">
      <c r="A88" s="7" t="s">
        <v>212</v>
      </c>
      <c r="B88" s="14" t="s">
        <v>213</v>
      </c>
      <c r="C88" s="23"/>
      <c r="D88" s="10" t="s">
        <v>406</v>
      </c>
      <c r="E88" s="1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x14ac:dyDescent="0.2">
      <c r="A89" s="6"/>
      <c r="B89" s="17"/>
      <c r="C89" s="18"/>
      <c r="D89" s="19"/>
    </row>
    <row r="90" spans="1:25" x14ac:dyDescent="0.2">
      <c r="A90" s="4" t="s">
        <v>214</v>
      </c>
      <c r="B90" s="5" t="s">
        <v>2</v>
      </c>
      <c r="C90" s="5" t="s">
        <v>3</v>
      </c>
      <c r="D90" s="5" t="s">
        <v>4</v>
      </c>
      <c r="E90" s="5" t="s">
        <v>5</v>
      </c>
    </row>
    <row r="91" spans="1:25" ht="51" x14ac:dyDescent="0.2">
      <c r="A91" s="7" t="s">
        <v>215</v>
      </c>
      <c r="B91" s="14" t="s">
        <v>216</v>
      </c>
      <c r="C91" s="42" t="s">
        <v>217</v>
      </c>
      <c r="D91" s="10" t="s">
        <v>406</v>
      </c>
      <c r="E91" s="16"/>
    </row>
    <row r="92" spans="1:25" ht="51" x14ac:dyDescent="0.2">
      <c r="A92" s="7" t="s">
        <v>218</v>
      </c>
      <c r="B92" s="14" t="s">
        <v>219</v>
      </c>
      <c r="C92" s="42" t="s">
        <v>220</v>
      </c>
      <c r="D92" s="10" t="s">
        <v>406</v>
      </c>
      <c r="E92" s="16"/>
    </row>
    <row r="93" spans="1:25" ht="38.25" x14ac:dyDescent="0.2">
      <c r="A93" s="7" t="s">
        <v>221</v>
      </c>
      <c r="B93" s="14" t="s">
        <v>222</v>
      </c>
      <c r="C93" s="42" t="s">
        <v>223</v>
      </c>
      <c r="D93" s="10" t="s">
        <v>406</v>
      </c>
      <c r="E93" s="16"/>
    </row>
    <row r="94" spans="1:25" ht="25.5" x14ac:dyDescent="0.2">
      <c r="A94" s="7" t="s">
        <v>224</v>
      </c>
      <c r="B94" s="14" t="s">
        <v>225</v>
      </c>
      <c r="C94" s="42" t="s">
        <v>226</v>
      </c>
      <c r="D94" s="10" t="s">
        <v>406</v>
      </c>
      <c r="E94" s="16"/>
    </row>
    <row r="95" spans="1:25" x14ac:dyDescent="0.2">
      <c r="A95" s="17"/>
      <c r="B95" s="17"/>
      <c r="C95" s="22"/>
      <c r="D95" s="19"/>
    </row>
    <row r="96" spans="1:25" ht="25.5" x14ac:dyDescent="0.2">
      <c r="A96" s="4" t="s">
        <v>227</v>
      </c>
      <c r="B96" s="5" t="s">
        <v>2</v>
      </c>
      <c r="C96" s="5" t="s">
        <v>3</v>
      </c>
      <c r="D96" s="5" t="s">
        <v>4</v>
      </c>
      <c r="E96" s="5" t="s">
        <v>5</v>
      </c>
    </row>
    <row r="97" spans="1:5" ht="51" x14ac:dyDescent="0.25">
      <c r="A97" s="7" t="s">
        <v>228</v>
      </c>
      <c r="B97" s="7" t="s">
        <v>229</v>
      </c>
      <c r="C97" s="42" t="s">
        <v>230</v>
      </c>
      <c r="D97" s="10" t="s">
        <v>406</v>
      </c>
      <c r="E97" s="11"/>
    </row>
    <row r="98" spans="1:5" ht="51" x14ac:dyDescent="0.25">
      <c r="A98" s="7" t="s">
        <v>231</v>
      </c>
      <c r="B98" s="7" t="s">
        <v>232</v>
      </c>
      <c r="C98" s="42" t="s">
        <v>233</v>
      </c>
      <c r="D98" s="10" t="s">
        <v>406</v>
      </c>
      <c r="E98" s="11"/>
    </row>
    <row r="99" spans="1:5" ht="114.75" x14ac:dyDescent="0.2">
      <c r="A99" s="7" t="s">
        <v>234</v>
      </c>
      <c r="B99" s="7" t="s">
        <v>235</v>
      </c>
      <c r="C99" s="42" t="s">
        <v>236</v>
      </c>
      <c r="D99" s="10" t="s">
        <v>406</v>
      </c>
      <c r="E99" s="7"/>
    </row>
    <row r="100" spans="1:5" ht="38.25" x14ac:dyDescent="0.2">
      <c r="A100" s="7" t="s">
        <v>237</v>
      </c>
      <c r="B100" s="7" t="s">
        <v>238</v>
      </c>
      <c r="C100" s="42" t="s">
        <v>239</v>
      </c>
      <c r="D100" s="10" t="s">
        <v>406</v>
      </c>
      <c r="E100" s="7"/>
    </row>
    <row r="101" spans="1:5" ht="38.25" x14ac:dyDescent="0.2">
      <c r="A101" s="7" t="s">
        <v>240</v>
      </c>
      <c r="B101" s="7" t="s">
        <v>241</v>
      </c>
      <c r="C101" s="42" t="s">
        <v>242</v>
      </c>
      <c r="D101" s="10" t="s">
        <v>406</v>
      </c>
      <c r="E101" s="7"/>
    </row>
    <row r="102" spans="1:5" ht="63.75" x14ac:dyDescent="0.2">
      <c r="A102" s="7" t="s">
        <v>243</v>
      </c>
      <c r="B102" s="7" t="s">
        <v>244</v>
      </c>
      <c r="C102" s="42" t="s">
        <v>245</v>
      </c>
      <c r="D102" s="10" t="s">
        <v>406</v>
      </c>
      <c r="E102" s="7"/>
    </row>
    <row r="103" spans="1:5" ht="63.75" x14ac:dyDescent="0.2">
      <c r="A103" s="7" t="s">
        <v>246</v>
      </c>
      <c r="B103" s="7" t="s">
        <v>247</v>
      </c>
      <c r="C103" s="42" t="s">
        <v>248</v>
      </c>
      <c r="D103" s="10" t="s">
        <v>406</v>
      </c>
      <c r="E103" s="7"/>
    </row>
    <row r="104" spans="1:5" ht="76.5" x14ac:dyDescent="0.2">
      <c r="A104" s="7" t="s">
        <v>249</v>
      </c>
      <c r="B104" s="7" t="s">
        <v>250</v>
      </c>
      <c r="C104" s="42" t="s">
        <v>251</v>
      </c>
      <c r="D104" s="10" t="s">
        <v>406</v>
      </c>
      <c r="E104" s="7"/>
    </row>
    <row r="105" spans="1:5" ht="102" x14ac:dyDescent="0.2">
      <c r="A105" s="7" t="s">
        <v>252</v>
      </c>
      <c r="B105" s="7" t="s">
        <v>253</v>
      </c>
      <c r="C105" s="42" t="s">
        <v>254</v>
      </c>
      <c r="D105" s="10" t="s">
        <v>406</v>
      </c>
      <c r="E105" s="7"/>
    </row>
    <row r="106" spans="1:5" x14ac:dyDescent="0.2">
      <c r="A106" s="6"/>
      <c r="B106" s="17"/>
      <c r="C106" s="18"/>
      <c r="D106" s="19"/>
      <c r="E106" s="6"/>
    </row>
    <row r="107" spans="1:5" ht="25.5" x14ac:dyDescent="0.2">
      <c r="A107" s="4" t="s">
        <v>255</v>
      </c>
      <c r="B107" s="5" t="s">
        <v>2</v>
      </c>
      <c r="C107" s="5" t="s">
        <v>3</v>
      </c>
      <c r="D107" s="5" t="s">
        <v>4</v>
      </c>
      <c r="E107" s="5" t="s">
        <v>5</v>
      </c>
    </row>
    <row r="108" spans="1:5" ht="25.5" x14ac:dyDescent="0.2">
      <c r="A108" s="7" t="s">
        <v>256</v>
      </c>
      <c r="B108" s="7" t="s">
        <v>257</v>
      </c>
      <c r="C108" s="42" t="s">
        <v>258</v>
      </c>
      <c r="D108" s="10" t="s">
        <v>406</v>
      </c>
      <c r="E108" s="16"/>
    </row>
    <row r="109" spans="1:5" ht="25.5" x14ac:dyDescent="0.2">
      <c r="A109" s="7" t="s">
        <v>259</v>
      </c>
      <c r="B109" s="7" t="s">
        <v>260</v>
      </c>
      <c r="C109" s="42" t="s">
        <v>261</v>
      </c>
      <c r="D109" s="10" t="s">
        <v>406</v>
      </c>
      <c r="E109" s="16"/>
    </row>
    <row r="110" spans="1:5" ht="25.5" x14ac:dyDescent="0.2">
      <c r="A110" s="7" t="s">
        <v>262</v>
      </c>
      <c r="B110" s="7" t="s">
        <v>263</v>
      </c>
      <c r="C110" s="42" t="s">
        <v>264</v>
      </c>
      <c r="D110" s="10" t="s">
        <v>406</v>
      </c>
      <c r="E110" s="7"/>
    </row>
    <row r="111" spans="1:5" ht="25.5" x14ac:dyDescent="0.2">
      <c r="A111" s="7" t="s">
        <v>265</v>
      </c>
      <c r="B111" s="7" t="s">
        <v>266</v>
      </c>
      <c r="C111" s="42" t="s">
        <v>267</v>
      </c>
      <c r="D111" s="10" t="s">
        <v>406</v>
      </c>
      <c r="E111" s="7"/>
    </row>
    <row r="112" spans="1:5" ht="25.5" x14ac:dyDescent="0.2">
      <c r="A112" s="7" t="s">
        <v>268</v>
      </c>
      <c r="B112" s="7" t="s">
        <v>269</v>
      </c>
      <c r="C112" s="42" t="s">
        <v>270</v>
      </c>
      <c r="D112" s="10" t="s">
        <v>406</v>
      </c>
      <c r="E112" s="7"/>
    </row>
    <row r="113" spans="1:5" ht="25.5" x14ac:dyDescent="0.2">
      <c r="A113" s="7" t="s">
        <v>271</v>
      </c>
      <c r="B113" s="7" t="s">
        <v>272</v>
      </c>
      <c r="C113" s="42" t="s">
        <v>273</v>
      </c>
      <c r="D113" s="10" t="s">
        <v>406</v>
      </c>
      <c r="E113" s="7"/>
    </row>
    <row r="114" spans="1:5" ht="38.25" x14ac:dyDescent="0.2">
      <c r="A114" s="7" t="s">
        <v>274</v>
      </c>
      <c r="B114" s="7" t="s">
        <v>275</v>
      </c>
      <c r="C114" s="42" t="s">
        <v>276</v>
      </c>
      <c r="D114" s="10" t="s">
        <v>406</v>
      </c>
      <c r="E114" s="7"/>
    </row>
    <row r="115" spans="1:5" ht="38.25" x14ac:dyDescent="0.2">
      <c r="A115" s="7" t="s">
        <v>277</v>
      </c>
      <c r="B115" s="7" t="s">
        <v>278</v>
      </c>
      <c r="C115" s="42" t="s">
        <v>279</v>
      </c>
      <c r="D115" s="10" t="s">
        <v>406</v>
      </c>
      <c r="E115" s="7"/>
    </row>
    <row r="116" spans="1:5" ht="38.25" x14ac:dyDescent="0.2">
      <c r="A116" s="7" t="s">
        <v>280</v>
      </c>
      <c r="B116" s="7" t="s">
        <v>281</v>
      </c>
      <c r="C116" s="42" t="s">
        <v>282</v>
      </c>
      <c r="D116" s="10" t="s">
        <v>406</v>
      </c>
      <c r="E116" s="7"/>
    </row>
    <row r="117" spans="1:5" ht="38.25" x14ac:dyDescent="0.25">
      <c r="A117" s="7" t="s">
        <v>283</v>
      </c>
      <c r="B117" s="7" t="s">
        <v>284</v>
      </c>
      <c r="C117" s="42" t="s">
        <v>285</v>
      </c>
      <c r="D117" s="10" t="s">
        <v>406</v>
      </c>
      <c r="E117" s="11"/>
    </row>
    <row r="118" spans="1:5" ht="25.5" x14ac:dyDescent="0.2">
      <c r="A118" s="7" t="s">
        <v>286</v>
      </c>
      <c r="B118" s="7" t="s">
        <v>287</v>
      </c>
      <c r="C118" s="42" t="s">
        <v>288</v>
      </c>
      <c r="D118" s="10" t="s">
        <v>406</v>
      </c>
      <c r="E118" s="16"/>
    </row>
    <row r="119" spans="1:5" ht="76.5" x14ac:dyDescent="0.2">
      <c r="A119" s="7" t="s">
        <v>289</v>
      </c>
      <c r="B119" s="7" t="s">
        <v>290</v>
      </c>
      <c r="C119" s="42" t="s">
        <v>291</v>
      </c>
      <c r="D119" s="10" t="s">
        <v>406</v>
      </c>
      <c r="E119" s="16"/>
    </row>
    <row r="120" spans="1:5" ht="25.5" x14ac:dyDescent="0.2">
      <c r="A120" s="14" t="s">
        <v>292</v>
      </c>
      <c r="B120" s="14" t="s">
        <v>293</v>
      </c>
      <c r="C120" s="42" t="s">
        <v>294</v>
      </c>
      <c r="D120" s="10" t="s">
        <v>406</v>
      </c>
      <c r="E120" s="16"/>
    </row>
    <row r="121" spans="1:5" x14ac:dyDescent="0.2">
      <c r="A121" s="6"/>
      <c r="B121" s="17"/>
      <c r="C121" s="18"/>
      <c r="D121" s="19"/>
    </row>
    <row r="122" spans="1:5" x14ac:dyDescent="0.2">
      <c r="A122" s="4" t="s">
        <v>295</v>
      </c>
      <c r="B122" s="5" t="s">
        <v>2</v>
      </c>
      <c r="C122" s="5" t="s">
        <v>3</v>
      </c>
      <c r="D122" s="5" t="s">
        <v>4</v>
      </c>
      <c r="E122" s="5" t="s">
        <v>5</v>
      </c>
    </row>
    <row r="123" spans="1:5" ht="51" x14ac:dyDescent="0.2">
      <c r="A123" s="7" t="s">
        <v>296</v>
      </c>
      <c r="B123" s="7" t="s">
        <v>297</v>
      </c>
      <c r="C123" s="43" t="s">
        <v>298</v>
      </c>
      <c r="D123" s="10" t="s">
        <v>406</v>
      </c>
      <c r="E123" s="16"/>
    </row>
    <row r="124" spans="1:5" x14ac:dyDescent="0.2">
      <c r="A124" s="17" t="s">
        <v>406</v>
      </c>
      <c r="B124" s="17"/>
      <c r="C124" s="3"/>
    </row>
    <row r="125" spans="1:5" x14ac:dyDescent="0.2">
      <c r="A125" s="17" t="s">
        <v>407</v>
      </c>
      <c r="B125" s="17"/>
      <c r="C125" s="3"/>
    </row>
    <row r="126" spans="1:5" x14ac:dyDescent="0.2">
      <c r="A126" s="17" t="s">
        <v>408</v>
      </c>
      <c r="B126" s="17"/>
      <c r="C126" s="3"/>
    </row>
    <row r="127" spans="1:5" x14ac:dyDescent="0.2">
      <c r="A127" s="17" t="s">
        <v>299</v>
      </c>
      <c r="B127" s="17"/>
      <c r="C127" s="3"/>
    </row>
    <row r="128" spans="1:5" x14ac:dyDescent="0.2">
      <c r="A128" s="17"/>
      <c r="B128" s="17"/>
      <c r="C128" s="3"/>
    </row>
    <row r="129" spans="1:3" x14ac:dyDescent="0.2">
      <c r="A129" s="17"/>
      <c r="B129" s="17"/>
      <c r="C129" s="3"/>
    </row>
    <row r="130" spans="1:3" x14ac:dyDescent="0.2">
      <c r="A130" s="17"/>
      <c r="B130" s="17"/>
      <c r="C130" s="3"/>
    </row>
    <row r="131" spans="1:3" x14ac:dyDescent="0.2">
      <c r="A131" s="17"/>
      <c r="B131" s="17"/>
      <c r="C131" s="3"/>
    </row>
    <row r="132" spans="1:3" x14ac:dyDescent="0.2">
      <c r="A132" s="17"/>
      <c r="B132" s="17"/>
      <c r="C132" s="3"/>
    </row>
    <row r="133" spans="1:3" x14ac:dyDescent="0.2">
      <c r="A133" s="17"/>
      <c r="B133" s="17"/>
      <c r="C133" s="3"/>
    </row>
    <row r="134" spans="1:3" x14ac:dyDescent="0.2">
      <c r="A134" s="17"/>
      <c r="B134" s="17"/>
      <c r="C134" s="3"/>
    </row>
    <row r="135" spans="1:3" x14ac:dyDescent="0.2">
      <c r="A135" s="17"/>
      <c r="B135" s="17"/>
      <c r="C135" s="3"/>
    </row>
    <row r="136" spans="1:3" x14ac:dyDescent="0.2">
      <c r="A136" s="17"/>
      <c r="B136" s="17"/>
      <c r="C136" s="3"/>
    </row>
    <row r="137" spans="1:3" x14ac:dyDescent="0.2">
      <c r="A137" s="17"/>
      <c r="B137" s="17"/>
      <c r="C137" s="3"/>
    </row>
    <row r="138" spans="1:3" x14ac:dyDescent="0.2">
      <c r="A138" s="17"/>
      <c r="B138" s="17"/>
      <c r="C138" s="3"/>
    </row>
    <row r="139" spans="1:3" x14ac:dyDescent="0.2">
      <c r="A139" s="17"/>
      <c r="B139" s="17"/>
      <c r="C139" s="3"/>
    </row>
    <row r="140" spans="1:3" x14ac:dyDescent="0.2">
      <c r="A140" s="17"/>
      <c r="B140" s="17"/>
      <c r="C140" s="3"/>
    </row>
    <row r="141" spans="1:3" x14ac:dyDescent="0.2">
      <c r="A141" s="17"/>
      <c r="B141" s="17"/>
      <c r="C141" s="3"/>
    </row>
    <row r="142" spans="1:3" x14ac:dyDescent="0.2">
      <c r="A142" s="17"/>
      <c r="B142" s="17"/>
      <c r="C142" s="3"/>
    </row>
    <row r="143" spans="1:3" x14ac:dyDescent="0.2">
      <c r="A143" s="17"/>
      <c r="B143" s="17"/>
      <c r="C143" s="3"/>
    </row>
    <row r="144" spans="1:3" x14ac:dyDescent="0.2">
      <c r="A144" s="17"/>
      <c r="B144" s="17"/>
      <c r="C144" s="3"/>
    </row>
    <row r="145" spans="1:3" x14ac:dyDescent="0.2">
      <c r="A145" s="17"/>
      <c r="B145" s="17"/>
      <c r="C145" s="3"/>
    </row>
    <row r="146" spans="1:3" x14ac:dyDescent="0.2">
      <c r="A146" s="17"/>
      <c r="B146" s="17"/>
      <c r="C146" s="3"/>
    </row>
    <row r="147" spans="1:3" x14ac:dyDescent="0.2">
      <c r="A147" s="17"/>
      <c r="B147" s="17"/>
      <c r="C147" s="3"/>
    </row>
    <row r="148" spans="1:3" x14ac:dyDescent="0.2">
      <c r="A148" s="17"/>
      <c r="B148" s="17"/>
      <c r="C148" s="3"/>
    </row>
    <row r="149" spans="1:3" x14ac:dyDescent="0.2">
      <c r="A149" s="17"/>
      <c r="B149" s="17"/>
      <c r="C149" s="3"/>
    </row>
    <row r="150" spans="1:3" x14ac:dyDescent="0.2">
      <c r="A150" s="17"/>
      <c r="B150" s="17"/>
      <c r="C150" s="3"/>
    </row>
    <row r="151" spans="1:3" x14ac:dyDescent="0.2">
      <c r="A151" s="17"/>
      <c r="B151" s="17"/>
      <c r="C151" s="3"/>
    </row>
    <row r="152" spans="1:3" x14ac:dyDescent="0.2">
      <c r="A152" s="17"/>
      <c r="B152" s="17"/>
      <c r="C152" s="3"/>
    </row>
    <row r="153" spans="1:3" x14ac:dyDescent="0.2">
      <c r="A153" s="17"/>
      <c r="B153" s="17"/>
      <c r="C153" s="3"/>
    </row>
    <row r="154" spans="1:3" x14ac:dyDescent="0.2">
      <c r="A154" s="17"/>
      <c r="B154" s="17"/>
      <c r="C154" s="3"/>
    </row>
    <row r="155" spans="1:3" x14ac:dyDescent="0.2">
      <c r="A155" s="17"/>
      <c r="B155" s="17"/>
      <c r="C155" s="3"/>
    </row>
    <row r="156" spans="1:3" x14ac:dyDescent="0.2">
      <c r="A156" s="17"/>
      <c r="B156" s="17"/>
      <c r="C156" s="3"/>
    </row>
    <row r="157" spans="1:3" x14ac:dyDescent="0.2">
      <c r="A157" s="17"/>
      <c r="B157" s="17"/>
      <c r="C157" s="3"/>
    </row>
    <row r="158" spans="1:3" x14ac:dyDescent="0.2">
      <c r="A158" s="17"/>
      <c r="B158" s="17"/>
      <c r="C158" s="3"/>
    </row>
    <row r="159" spans="1:3" x14ac:dyDescent="0.2">
      <c r="A159" s="17"/>
      <c r="B159" s="17"/>
      <c r="C159" s="3"/>
    </row>
    <row r="160" spans="1:3" x14ac:dyDescent="0.2">
      <c r="A160" s="17"/>
      <c r="B160" s="17"/>
      <c r="C160" s="3"/>
    </row>
    <row r="161" spans="1:3" x14ac:dyDescent="0.2">
      <c r="A161" s="17"/>
      <c r="B161" s="17"/>
      <c r="C161" s="3"/>
    </row>
    <row r="162" spans="1:3" x14ac:dyDescent="0.2">
      <c r="A162" s="17"/>
      <c r="B162" s="17"/>
      <c r="C162" s="3"/>
    </row>
    <row r="163" spans="1:3" x14ac:dyDescent="0.2">
      <c r="A163" s="17"/>
      <c r="B163" s="17"/>
      <c r="C163" s="3"/>
    </row>
    <row r="164" spans="1:3" x14ac:dyDescent="0.2">
      <c r="A164" s="17"/>
      <c r="B164" s="17"/>
      <c r="C164" s="3"/>
    </row>
    <row r="165" spans="1:3" x14ac:dyDescent="0.2">
      <c r="A165" s="17"/>
      <c r="B165" s="17"/>
      <c r="C165" s="3"/>
    </row>
    <row r="166" spans="1:3" x14ac:dyDescent="0.2">
      <c r="A166" s="17"/>
      <c r="B166" s="17"/>
      <c r="C166" s="3"/>
    </row>
    <row r="167" spans="1:3" x14ac:dyDescent="0.2">
      <c r="A167" s="17"/>
      <c r="B167" s="17"/>
      <c r="C167" s="3"/>
    </row>
    <row r="168" spans="1:3" x14ac:dyDescent="0.2">
      <c r="A168" s="17"/>
      <c r="B168" s="17"/>
      <c r="C168" s="3"/>
    </row>
    <row r="169" spans="1:3" x14ac:dyDescent="0.2">
      <c r="A169" s="17"/>
      <c r="B169" s="17"/>
      <c r="C169" s="3"/>
    </row>
    <row r="170" spans="1:3" x14ac:dyDescent="0.2">
      <c r="A170" s="17"/>
      <c r="B170" s="17"/>
      <c r="C170" s="3"/>
    </row>
    <row r="171" spans="1:3" x14ac:dyDescent="0.2">
      <c r="A171" s="17"/>
      <c r="B171" s="17"/>
      <c r="C171" s="3"/>
    </row>
    <row r="172" spans="1:3" x14ac:dyDescent="0.2">
      <c r="A172" s="17"/>
      <c r="B172" s="17"/>
      <c r="C172" s="3"/>
    </row>
    <row r="173" spans="1:3" x14ac:dyDescent="0.2">
      <c r="A173" s="17"/>
      <c r="B173" s="17"/>
      <c r="C173" s="3"/>
    </row>
    <row r="174" spans="1:3" x14ac:dyDescent="0.2">
      <c r="A174" s="17"/>
      <c r="B174" s="17"/>
      <c r="C174" s="3"/>
    </row>
    <row r="175" spans="1:3" x14ac:dyDescent="0.2">
      <c r="A175" s="17"/>
      <c r="B175" s="17"/>
      <c r="C175" s="3"/>
    </row>
    <row r="176" spans="1:3" x14ac:dyDescent="0.2">
      <c r="A176" s="17"/>
      <c r="B176" s="17"/>
      <c r="C176" s="3"/>
    </row>
    <row r="177" spans="1:3" x14ac:dyDescent="0.2">
      <c r="A177" s="17"/>
      <c r="B177" s="17"/>
      <c r="C177" s="3"/>
    </row>
    <row r="178" spans="1:3" x14ac:dyDescent="0.2">
      <c r="A178" s="17"/>
      <c r="B178" s="17"/>
      <c r="C178" s="3"/>
    </row>
    <row r="179" spans="1:3" x14ac:dyDescent="0.2">
      <c r="A179" s="17"/>
      <c r="B179" s="17"/>
      <c r="C179" s="3"/>
    </row>
    <row r="180" spans="1:3" x14ac:dyDescent="0.2">
      <c r="A180" s="17"/>
      <c r="B180" s="17"/>
      <c r="C180" s="3"/>
    </row>
    <row r="181" spans="1:3" x14ac:dyDescent="0.2">
      <c r="A181" s="17"/>
      <c r="B181" s="17"/>
      <c r="C181" s="3"/>
    </row>
    <row r="182" spans="1:3" x14ac:dyDescent="0.2">
      <c r="A182" s="17"/>
      <c r="B182" s="17"/>
      <c r="C182" s="3"/>
    </row>
    <row r="183" spans="1:3" x14ac:dyDescent="0.2">
      <c r="A183" s="17"/>
      <c r="B183" s="17"/>
      <c r="C183" s="3"/>
    </row>
    <row r="184" spans="1:3" x14ac:dyDescent="0.2">
      <c r="A184" s="17"/>
      <c r="B184" s="17"/>
      <c r="C184" s="3"/>
    </row>
    <row r="185" spans="1:3" x14ac:dyDescent="0.2">
      <c r="A185" s="17"/>
      <c r="B185" s="17"/>
      <c r="C185" s="3"/>
    </row>
    <row r="186" spans="1:3" x14ac:dyDescent="0.2">
      <c r="A186" s="17"/>
      <c r="B186" s="17"/>
      <c r="C186" s="3"/>
    </row>
    <row r="187" spans="1:3" x14ac:dyDescent="0.2">
      <c r="A187" s="17"/>
      <c r="B187" s="17"/>
      <c r="C187" s="3"/>
    </row>
    <row r="188" spans="1:3" x14ac:dyDescent="0.2">
      <c r="A188" s="17"/>
      <c r="B188" s="17"/>
      <c r="C188" s="3"/>
    </row>
    <row r="189" spans="1:3" x14ac:dyDescent="0.2">
      <c r="A189" s="17"/>
      <c r="B189" s="17"/>
      <c r="C189" s="3"/>
    </row>
    <row r="190" spans="1:3" x14ac:dyDescent="0.2">
      <c r="A190" s="17"/>
      <c r="B190" s="17"/>
      <c r="C190" s="3"/>
    </row>
    <row r="191" spans="1:3" x14ac:dyDescent="0.2">
      <c r="A191" s="17"/>
      <c r="B191" s="17"/>
      <c r="C191" s="3"/>
    </row>
    <row r="192" spans="1:3" x14ac:dyDescent="0.2">
      <c r="A192" s="17"/>
      <c r="B192" s="17"/>
      <c r="C192" s="3"/>
    </row>
    <row r="193" spans="1:3" x14ac:dyDescent="0.2">
      <c r="A193" s="17"/>
      <c r="B193" s="17"/>
      <c r="C193" s="3"/>
    </row>
    <row r="194" spans="1:3" x14ac:dyDescent="0.2">
      <c r="A194" s="17"/>
      <c r="B194" s="17"/>
      <c r="C194" s="3"/>
    </row>
    <row r="195" spans="1:3" x14ac:dyDescent="0.2">
      <c r="A195" s="17"/>
      <c r="B195" s="17"/>
      <c r="C195" s="3"/>
    </row>
    <row r="196" spans="1:3" x14ac:dyDescent="0.2">
      <c r="A196" s="17"/>
      <c r="B196" s="17"/>
      <c r="C196" s="3"/>
    </row>
    <row r="197" spans="1:3" x14ac:dyDescent="0.2">
      <c r="A197" s="17"/>
      <c r="B197" s="17"/>
      <c r="C197" s="3"/>
    </row>
    <row r="198" spans="1:3" x14ac:dyDescent="0.2">
      <c r="A198" s="17"/>
      <c r="B198" s="17"/>
      <c r="C198" s="3"/>
    </row>
    <row r="199" spans="1:3" x14ac:dyDescent="0.2">
      <c r="A199" s="17"/>
      <c r="B199" s="17"/>
      <c r="C199" s="3"/>
    </row>
    <row r="200" spans="1:3" x14ac:dyDescent="0.2">
      <c r="A200" s="17"/>
      <c r="B200" s="17"/>
      <c r="C200" s="3"/>
    </row>
    <row r="201" spans="1:3" x14ac:dyDescent="0.2">
      <c r="A201" s="17"/>
      <c r="B201" s="17"/>
      <c r="C201" s="3"/>
    </row>
    <row r="202" spans="1:3" x14ac:dyDescent="0.2">
      <c r="A202" s="17"/>
      <c r="B202" s="17"/>
      <c r="C202" s="3"/>
    </row>
    <row r="203" spans="1:3" x14ac:dyDescent="0.2">
      <c r="A203" s="17"/>
      <c r="B203" s="17"/>
      <c r="C203" s="3"/>
    </row>
    <row r="204" spans="1:3" x14ac:dyDescent="0.2">
      <c r="A204" s="17"/>
      <c r="B204" s="17"/>
      <c r="C204" s="3"/>
    </row>
    <row r="205" spans="1:3" x14ac:dyDescent="0.2">
      <c r="A205" s="17"/>
      <c r="B205" s="17"/>
      <c r="C205" s="3"/>
    </row>
    <row r="206" spans="1:3" x14ac:dyDescent="0.2">
      <c r="A206" s="17"/>
      <c r="B206" s="17"/>
      <c r="C206" s="3"/>
    </row>
    <row r="207" spans="1:3" x14ac:dyDescent="0.2">
      <c r="A207" s="17"/>
      <c r="B207" s="17"/>
      <c r="C207" s="3"/>
    </row>
    <row r="208" spans="1:3" x14ac:dyDescent="0.2">
      <c r="A208" s="17"/>
      <c r="B208" s="17"/>
      <c r="C208" s="3"/>
    </row>
    <row r="209" spans="1:3" x14ac:dyDescent="0.2">
      <c r="A209" s="17"/>
      <c r="B209" s="17"/>
      <c r="C209" s="3"/>
    </row>
    <row r="210" spans="1:3" x14ac:dyDescent="0.2">
      <c r="A210" s="17"/>
      <c r="B210" s="17"/>
      <c r="C210" s="3"/>
    </row>
    <row r="211" spans="1:3" x14ac:dyDescent="0.2">
      <c r="A211" s="17"/>
      <c r="B211" s="17"/>
      <c r="C211" s="3"/>
    </row>
    <row r="212" spans="1:3" x14ac:dyDescent="0.2">
      <c r="A212" s="17"/>
      <c r="B212" s="17"/>
      <c r="C212" s="3"/>
    </row>
    <row r="213" spans="1:3" x14ac:dyDescent="0.2">
      <c r="A213" s="17"/>
      <c r="B213" s="17"/>
      <c r="C213" s="3"/>
    </row>
    <row r="214" spans="1:3" x14ac:dyDescent="0.2">
      <c r="A214" s="17"/>
      <c r="B214" s="17"/>
      <c r="C214" s="3"/>
    </row>
    <row r="215" spans="1:3" x14ac:dyDescent="0.2">
      <c r="A215" s="17"/>
      <c r="B215" s="17"/>
      <c r="C215" s="3"/>
    </row>
    <row r="216" spans="1:3" x14ac:dyDescent="0.2">
      <c r="A216" s="17"/>
      <c r="B216" s="17"/>
      <c r="C216" s="3"/>
    </row>
    <row r="217" spans="1:3" x14ac:dyDescent="0.2">
      <c r="A217" s="17"/>
      <c r="B217" s="17"/>
      <c r="C217" s="3"/>
    </row>
    <row r="218" spans="1:3" x14ac:dyDescent="0.2">
      <c r="A218" s="17"/>
      <c r="B218" s="17"/>
      <c r="C218" s="3"/>
    </row>
    <row r="219" spans="1:3" x14ac:dyDescent="0.2">
      <c r="A219" s="17"/>
      <c r="B219" s="17"/>
      <c r="C219" s="3"/>
    </row>
    <row r="220" spans="1:3" x14ac:dyDescent="0.2">
      <c r="A220" s="17"/>
      <c r="B220" s="17"/>
      <c r="C220" s="3"/>
    </row>
    <row r="221" spans="1:3" x14ac:dyDescent="0.2">
      <c r="A221" s="17"/>
      <c r="B221" s="17"/>
      <c r="C221" s="3"/>
    </row>
    <row r="222" spans="1:3" x14ac:dyDescent="0.2">
      <c r="A222" s="17"/>
      <c r="B222" s="17"/>
      <c r="C222" s="3"/>
    </row>
    <row r="223" spans="1:3" x14ac:dyDescent="0.2">
      <c r="A223" s="17"/>
      <c r="B223" s="17"/>
      <c r="C223" s="3"/>
    </row>
    <row r="224" spans="1:3" x14ac:dyDescent="0.2">
      <c r="A224" s="17"/>
      <c r="B224" s="17"/>
      <c r="C224" s="3"/>
    </row>
    <row r="225" spans="1:3" x14ac:dyDescent="0.2">
      <c r="A225" s="17"/>
      <c r="B225" s="17"/>
      <c r="C225" s="3"/>
    </row>
    <row r="226" spans="1:3" x14ac:dyDescent="0.2">
      <c r="A226" s="17"/>
      <c r="B226" s="17"/>
      <c r="C226" s="3"/>
    </row>
    <row r="227" spans="1:3" x14ac:dyDescent="0.2">
      <c r="A227" s="17"/>
      <c r="B227" s="17"/>
      <c r="C227" s="3"/>
    </row>
    <row r="228" spans="1:3" x14ac:dyDescent="0.2">
      <c r="A228" s="17"/>
      <c r="B228" s="17"/>
      <c r="C228" s="3"/>
    </row>
    <row r="229" spans="1:3" x14ac:dyDescent="0.2">
      <c r="A229" s="17"/>
      <c r="B229" s="17"/>
      <c r="C229" s="3"/>
    </row>
    <row r="230" spans="1:3" x14ac:dyDescent="0.2">
      <c r="A230" s="17"/>
      <c r="B230" s="17"/>
      <c r="C230" s="3"/>
    </row>
    <row r="231" spans="1:3" x14ac:dyDescent="0.2">
      <c r="A231" s="17"/>
      <c r="B231" s="17"/>
      <c r="C231" s="3"/>
    </row>
    <row r="232" spans="1:3" x14ac:dyDescent="0.2">
      <c r="A232" s="17"/>
      <c r="B232" s="17"/>
      <c r="C232" s="3"/>
    </row>
    <row r="233" spans="1:3" x14ac:dyDescent="0.2">
      <c r="A233" s="17"/>
      <c r="B233" s="17"/>
      <c r="C233" s="3"/>
    </row>
    <row r="234" spans="1:3" x14ac:dyDescent="0.2">
      <c r="A234" s="17"/>
      <c r="B234" s="17"/>
      <c r="C234" s="3"/>
    </row>
    <row r="235" spans="1:3" x14ac:dyDescent="0.2">
      <c r="A235" s="17"/>
      <c r="B235" s="17"/>
      <c r="C235" s="3"/>
    </row>
    <row r="236" spans="1:3" x14ac:dyDescent="0.2">
      <c r="A236" s="17"/>
      <c r="B236" s="17"/>
      <c r="C236" s="3"/>
    </row>
    <row r="237" spans="1:3" x14ac:dyDescent="0.2">
      <c r="A237" s="17"/>
      <c r="B237" s="17"/>
      <c r="C237" s="3"/>
    </row>
    <row r="238" spans="1:3" x14ac:dyDescent="0.2">
      <c r="A238" s="17"/>
      <c r="B238" s="17"/>
      <c r="C238" s="3"/>
    </row>
    <row r="239" spans="1:3" x14ac:dyDescent="0.2">
      <c r="A239" s="17"/>
      <c r="B239" s="17"/>
      <c r="C239" s="3"/>
    </row>
    <row r="240" spans="1:3" x14ac:dyDescent="0.2">
      <c r="A240" s="17"/>
      <c r="B240" s="17"/>
      <c r="C240" s="3"/>
    </row>
    <row r="241" spans="1:3" x14ac:dyDescent="0.2">
      <c r="A241" s="17"/>
      <c r="B241" s="17"/>
      <c r="C241" s="3"/>
    </row>
    <row r="242" spans="1:3" x14ac:dyDescent="0.2">
      <c r="A242" s="17"/>
      <c r="B242" s="17"/>
      <c r="C242" s="3"/>
    </row>
    <row r="243" spans="1:3" x14ac:dyDescent="0.2">
      <c r="A243" s="17"/>
      <c r="B243" s="17"/>
      <c r="C243" s="3"/>
    </row>
    <row r="244" spans="1:3" x14ac:dyDescent="0.2">
      <c r="A244" s="17"/>
      <c r="B244" s="17"/>
      <c r="C244" s="3"/>
    </row>
    <row r="245" spans="1:3" x14ac:dyDescent="0.2">
      <c r="A245" s="17"/>
      <c r="B245" s="17"/>
      <c r="C245" s="3"/>
    </row>
    <row r="246" spans="1:3" x14ac:dyDescent="0.2">
      <c r="A246" s="17"/>
      <c r="B246" s="17"/>
      <c r="C246" s="3"/>
    </row>
    <row r="247" spans="1:3" x14ac:dyDescent="0.2">
      <c r="A247" s="17"/>
      <c r="B247" s="17"/>
      <c r="C247" s="3"/>
    </row>
    <row r="248" spans="1:3" x14ac:dyDescent="0.2">
      <c r="A248" s="17"/>
      <c r="B248" s="17"/>
      <c r="C248" s="3"/>
    </row>
    <row r="249" spans="1:3" x14ac:dyDescent="0.2">
      <c r="A249" s="17"/>
      <c r="B249" s="17"/>
      <c r="C249" s="3"/>
    </row>
    <row r="250" spans="1:3" x14ac:dyDescent="0.2">
      <c r="A250" s="17"/>
      <c r="B250" s="17"/>
      <c r="C250" s="3"/>
    </row>
    <row r="251" spans="1:3" x14ac:dyDescent="0.2">
      <c r="A251" s="17"/>
      <c r="B251" s="17"/>
      <c r="C251" s="3"/>
    </row>
    <row r="252" spans="1:3" x14ac:dyDescent="0.2">
      <c r="A252" s="17"/>
      <c r="B252" s="17"/>
      <c r="C252" s="3"/>
    </row>
    <row r="253" spans="1:3" x14ac:dyDescent="0.2">
      <c r="A253" s="17"/>
      <c r="B253" s="17"/>
      <c r="C253" s="3"/>
    </row>
    <row r="254" spans="1:3" x14ac:dyDescent="0.2">
      <c r="A254" s="17"/>
      <c r="B254" s="17"/>
      <c r="C254" s="3"/>
    </row>
    <row r="255" spans="1:3" x14ac:dyDescent="0.2">
      <c r="A255" s="17"/>
      <c r="B255" s="17"/>
      <c r="C255" s="3"/>
    </row>
    <row r="256" spans="1:3" x14ac:dyDescent="0.2">
      <c r="A256" s="17"/>
      <c r="B256" s="17"/>
      <c r="C256" s="3"/>
    </row>
    <row r="257" spans="1:3" x14ac:dyDescent="0.2">
      <c r="A257" s="17"/>
      <c r="B257" s="17"/>
      <c r="C257" s="3"/>
    </row>
    <row r="258" spans="1:3" x14ac:dyDescent="0.2">
      <c r="A258" s="17"/>
      <c r="B258" s="17"/>
      <c r="C258" s="3"/>
    </row>
    <row r="259" spans="1:3" x14ac:dyDescent="0.2">
      <c r="A259" s="17"/>
      <c r="B259" s="17"/>
      <c r="C259" s="3"/>
    </row>
    <row r="260" spans="1:3" x14ac:dyDescent="0.2">
      <c r="A260" s="17"/>
      <c r="B260" s="17"/>
      <c r="C260" s="3"/>
    </row>
    <row r="261" spans="1:3" x14ac:dyDescent="0.2">
      <c r="A261" s="17"/>
      <c r="B261" s="17"/>
      <c r="C261" s="3"/>
    </row>
    <row r="262" spans="1:3" x14ac:dyDescent="0.2">
      <c r="A262" s="17"/>
      <c r="B262" s="17"/>
      <c r="C262" s="3"/>
    </row>
    <row r="263" spans="1:3" x14ac:dyDescent="0.2">
      <c r="A263" s="17"/>
      <c r="B263" s="17"/>
      <c r="C263" s="3"/>
    </row>
    <row r="264" spans="1:3" x14ac:dyDescent="0.2">
      <c r="A264" s="17"/>
      <c r="B264" s="17"/>
      <c r="C264" s="3"/>
    </row>
    <row r="265" spans="1:3" x14ac:dyDescent="0.2">
      <c r="A265" s="17"/>
      <c r="B265" s="17"/>
      <c r="C265" s="3"/>
    </row>
    <row r="266" spans="1:3" x14ac:dyDescent="0.2">
      <c r="A266" s="17"/>
      <c r="B266" s="17"/>
      <c r="C266" s="3"/>
    </row>
    <row r="267" spans="1:3" x14ac:dyDescent="0.2">
      <c r="A267" s="17"/>
      <c r="B267" s="17"/>
      <c r="C267" s="3"/>
    </row>
    <row r="268" spans="1:3" x14ac:dyDescent="0.2">
      <c r="A268" s="17"/>
      <c r="B268" s="17"/>
      <c r="C268" s="3"/>
    </row>
    <row r="269" spans="1:3" x14ac:dyDescent="0.2">
      <c r="A269" s="17"/>
      <c r="B269" s="17"/>
      <c r="C269" s="3"/>
    </row>
    <row r="270" spans="1:3" x14ac:dyDescent="0.2">
      <c r="A270" s="17"/>
      <c r="B270" s="17"/>
      <c r="C270" s="3"/>
    </row>
    <row r="271" spans="1:3" x14ac:dyDescent="0.2">
      <c r="A271" s="17"/>
      <c r="B271" s="17"/>
      <c r="C271" s="3"/>
    </row>
    <row r="272" spans="1:3" x14ac:dyDescent="0.2">
      <c r="A272" s="17"/>
      <c r="B272" s="17"/>
      <c r="C272" s="3"/>
    </row>
    <row r="273" spans="1:3" x14ac:dyDescent="0.2">
      <c r="A273" s="17"/>
      <c r="B273" s="17"/>
      <c r="C273" s="3"/>
    </row>
    <row r="274" spans="1:3" x14ac:dyDescent="0.2">
      <c r="A274" s="17"/>
      <c r="B274" s="17"/>
      <c r="C274" s="3"/>
    </row>
    <row r="275" spans="1:3" x14ac:dyDescent="0.2">
      <c r="A275" s="17"/>
      <c r="B275" s="17"/>
      <c r="C275" s="3"/>
    </row>
    <row r="276" spans="1:3" x14ac:dyDescent="0.2">
      <c r="A276" s="17"/>
      <c r="B276" s="17"/>
      <c r="C276" s="3"/>
    </row>
    <row r="277" spans="1:3" x14ac:dyDescent="0.2">
      <c r="A277" s="17"/>
      <c r="B277" s="17"/>
      <c r="C277" s="3"/>
    </row>
    <row r="278" spans="1:3" x14ac:dyDescent="0.2">
      <c r="A278" s="17"/>
      <c r="B278" s="17"/>
      <c r="C278" s="3"/>
    </row>
    <row r="279" spans="1:3" x14ac:dyDescent="0.2">
      <c r="A279" s="17"/>
      <c r="B279" s="17"/>
      <c r="C279" s="3"/>
    </row>
    <row r="280" spans="1:3" x14ac:dyDescent="0.2">
      <c r="A280" s="17"/>
      <c r="B280" s="17"/>
      <c r="C280" s="3"/>
    </row>
    <row r="281" spans="1:3" x14ac:dyDescent="0.2">
      <c r="A281" s="17"/>
      <c r="B281" s="17"/>
      <c r="C281" s="3"/>
    </row>
    <row r="282" spans="1:3" x14ac:dyDescent="0.2">
      <c r="A282" s="17"/>
      <c r="B282" s="17"/>
      <c r="C282" s="3"/>
    </row>
    <row r="283" spans="1:3" x14ac:dyDescent="0.2">
      <c r="A283" s="17"/>
      <c r="B283" s="17"/>
      <c r="C283" s="3"/>
    </row>
    <row r="284" spans="1:3" x14ac:dyDescent="0.2">
      <c r="A284" s="17"/>
      <c r="B284" s="17"/>
      <c r="C284" s="3"/>
    </row>
    <row r="285" spans="1:3" x14ac:dyDescent="0.2">
      <c r="A285" s="17"/>
      <c r="B285" s="17"/>
      <c r="C285" s="3"/>
    </row>
    <row r="286" spans="1:3" x14ac:dyDescent="0.2">
      <c r="A286" s="17"/>
      <c r="B286" s="17"/>
      <c r="C286" s="3"/>
    </row>
    <row r="287" spans="1:3" x14ac:dyDescent="0.2">
      <c r="A287" s="17"/>
      <c r="B287" s="17"/>
      <c r="C287" s="3"/>
    </row>
    <row r="288" spans="1:3" x14ac:dyDescent="0.2">
      <c r="A288" s="17"/>
      <c r="B288" s="17"/>
      <c r="C288" s="3"/>
    </row>
    <row r="289" spans="1:3" x14ac:dyDescent="0.2">
      <c r="A289" s="17"/>
      <c r="B289" s="17"/>
      <c r="C289" s="3"/>
    </row>
    <row r="290" spans="1:3" x14ac:dyDescent="0.2">
      <c r="A290" s="17"/>
      <c r="B290" s="17"/>
      <c r="C290" s="3"/>
    </row>
    <row r="291" spans="1:3" x14ac:dyDescent="0.2">
      <c r="A291" s="17"/>
      <c r="B291" s="17"/>
      <c r="C291" s="3"/>
    </row>
    <row r="292" spans="1:3" x14ac:dyDescent="0.2">
      <c r="A292" s="17"/>
      <c r="B292" s="17"/>
      <c r="C292" s="3"/>
    </row>
    <row r="293" spans="1:3" x14ac:dyDescent="0.2">
      <c r="A293" s="17"/>
      <c r="B293" s="17"/>
      <c r="C293" s="3"/>
    </row>
    <row r="294" spans="1:3" x14ac:dyDescent="0.2">
      <c r="A294" s="17"/>
      <c r="B294" s="17"/>
      <c r="C294" s="3"/>
    </row>
    <row r="295" spans="1:3" x14ac:dyDescent="0.2">
      <c r="A295" s="17"/>
      <c r="B295" s="17"/>
      <c r="C295" s="3"/>
    </row>
    <row r="296" spans="1:3" x14ac:dyDescent="0.2">
      <c r="A296" s="17"/>
      <c r="B296" s="17"/>
      <c r="C296" s="3"/>
    </row>
    <row r="297" spans="1:3" x14ac:dyDescent="0.2">
      <c r="A297" s="17"/>
      <c r="B297" s="17"/>
      <c r="C297" s="3"/>
    </row>
    <row r="298" spans="1:3" x14ac:dyDescent="0.2">
      <c r="A298" s="17"/>
      <c r="B298" s="17"/>
      <c r="C298" s="3"/>
    </row>
    <row r="299" spans="1:3" x14ac:dyDescent="0.2">
      <c r="A299" s="17"/>
      <c r="B299" s="17"/>
      <c r="C299" s="3"/>
    </row>
    <row r="300" spans="1:3" x14ac:dyDescent="0.2">
      <c r="A300" s="17"/>
      <c r="B300" s="17"/>
      <c r="C300" s="3"/>
    </row>
    <row r="301" spans="1:3" x14ac:dyDescent="0.2">
      <c r="A301" s="17"/>
      <c r="B301" s="17"/>
      <c r="C301" s="3"/>
    </row>
    <row r="302" spans="1:3" x14ac:dyDescent="0.2">
      <c r="A302" s="17"/>
      <c r="B302" s="17"/>
      <c r="C302" s="3"/>
    </row>
    <row r="303" spans="1:3" x14ac:dyDescent="0.2">
      <c r="A303" s="17"/>
      <c r="B303" s="17"/>
      <c r="C303" s="3"/>
    </row>
    <row r="304" spans="1:3" x14ac:dyDescent="0.2">
      <c r="A304" s="17"/>
      <c r="B304" s="17"/>
      <c r="C304" s="3"/>
    </row>
    <row r="305" spans="1:3" x14ac:dyDescent="0.2">
      <c r="A305" s="17"/>
      <c r="B305" s="17"/>
      <c r="C305" s="3"/>
    </row>
    <row r="306" spans="1:3" x14ac:dyDescent="0.2">
      <c r="A306" s="17"/>
      <c r="B306" s="17"/>
      <c r="C306" s="3"/>
    </row>
    <row r="307" spans="1:3" x14ac:dyDescent="0.2">
      <c r="A307" s="17"/>
      <c r="B307" s="17"/>
      <c r="C307" s="3"/>
    </row>
    <row r="308" spans="1:3" x14ac:dyDescent="0.2">
      <c r="A308" s="17"/>
      <c r="B308" s="17"/>
      <c r="C308" s="3"/>
    </row>
    <row r="309" spans="1:3" x14ac:dyDescent="0.2">
      <c r="A309" s="17"/>
      <c r="B309" s="17"/>
      <c r="C309" s="3"/>
    </row>
    <row r="310" spans="1:3" x14ac:dyDescent="0.2">
      <c r="A310" s="17"/>
      <c r="B310" s="17"/>
      <c r="C310" s="3"/>
    </row>
    <row r="311" spans="1:3" x14ac:dyDescent="0.2">
      <c r="A311" s="17"/>
      <c r="B311" s="17"/>
      <c r="C311" s="3"/>
    </row>
    <row r="312" spans="1:3" x14ac:dyDescent="0.2">
      <c r="A312" s="17"/>
      <c r="B312" s="17"/>
      <c r="C312" s="3"/>
    </row>
    <row r="313" spans="1:3" x14ac:dyDescent="0.2">
      <c r="A313" s="17"/>
      <c r="B313" s="17"/>
      <c r="C313" s="3"/>
    </row>
    <row r="314" spans="1:3" x14ac:dyDescent="0.2">
      <c r="A314" s="17"/>
      <c r="B314" s="17"/>
      <c r="C314" s="3"/>
    </row>
    <row r="315" spans="1:3" x14ac:dyDescent="0.2">
      <c r="A315" s="17"/>
      <c r="B315" s="17"/>
      <c r="C315" s="3"/>
    </row>
    <row r="316" spans="1:3" x14ac:dyDescent="0.2">
      <c r="A316" s="17"/>
      <c r="B316" s="17"/>
      <c r="C316" s="3"/>
    </row>
    <row r="317" spans="1:3" x14ac:dyDescent="0.2">
      <c r="A317" s="17"/>
      <c r="B317" s="17"/>
      <c r="C317" s="3"/>
    </row>
    <row r="318" spans="1:3" x14ac:dyDescent="0.2">
      <c r="A318" s="17"/>
      <c r="B318" s="17"/>
      <c r="C318" s="3"/>
    </row>
    <row r="319" spans="1:3" x14ac:dyDescent="0.2">
      <c r="A319" s="17"/>
      <c r="B319" s="17"/>
      <c r="C319" s="3"/>
    </row>
    <row r="320" spans="1:3" x14ac:dyDescent="0.2">
      <c r="A320" s="17"/>
      <c r="B320" s="17"/>
      <c r="C320" s="3"/>
    </row>
    <row r="321" spans="1:3" x14ac:dyDescent="0.2">
      <c r="A321" s="17"/>
      <c r="B321" s="17"/>
      <c r="C321" s="3"/>
    </row>
    <row r="322" spans="1:3" x14ac:dyDescent="0.2">
      <c r="A322" s="17"/>
      <c r="B322" s="17"/>
      <c r="C322" s="3"/>
    </row>
    <row r="323" spans="1:3" x14ac:dyDescent="0.2">
      <c r="A323" s="17"/>
      <c r="B323" s="17"/>
      <c r="C323" s="3"/>
    </row>
    <row r="324" spans="1:3" x14ac:dyDescent="0.2">
      <c r="A324" s="17"/>
      <c r="B324" s="17"/>
      <c r="C324" s="3"/>
    </row>
    <row r="325" spans="1:3" x14ac:dyDescent="0.2">
      <c r="A325" s="17"/>
      <c r="B325" s="17"/>
      <c r="C325" s="3"/>
    </row>
    <row r="326" spans="1:3" x14ac:dyDescent="0.2">
      <c r="A326" s="17"/>
      <c r="B326" s="17"/>
      <c r="C326" s="3"/>
    </row>
    <row r="327" spans="1:3" x14ac:dyDescent="0.2">
      <c r="A327" s="17"/>
      <c r="B327" s="17"/>
      <c r="C327" s="3"/>
    </row>
  </sheetData>
  <mergeCells count="2">
    <mergeCell ref="A1:B1"/>
    <mergeCell ref="A2:B2"/>
  </mergeCells>
  <dataValidations count="1">
    <dataValidation type="list" allowBlank="1" showInputMessage="1" prompt="result" sqref="D108:D120 D5:D14 D17:D27 D30:D34 D37:D46 D49:D52 D55:D63 D66:D84 D87:D88 D91:D94 D97:D105 D123" xr:uid="{E16B52D4-1A47-4A40-B807-8929832C1AA2}">
      <formula1>$A$124:$A$127</formula1>
    </dataValidation>
  </dataValidations>
  <hyperlinks>
    <hyperlink ref="A2" r:id="rId1" display="https://github.com/oscartobar/wstg-translations-es/tree/version_es_42/document/4-Pruebas_de_Seguridad_de_aplicaciones_Web" xr:uid="{B5B6A0BB-B9D4-46E6-B03F-E011FEFBF3EE}"/>
    <hyperlink ref="A2:B2" r:id="rId2" display="Pruebas_de_Seguridad_de_aplicaciones_Web" xr:uid="{674447B7-51EF-4FB5-902C-EECD3884CF68}"/>
  </hyperlinks>
  <pageMargins left="0.75" right="0.75" top="1" bottom="1" header="0.51180555555555496" footer="0.51180555555555496"/>
  <pageSetup paperSize="9" firstPageNumber="0" orientation="portrait" horizontalDpi="300" verticalDpi="300" r:id="rId3"/>
  <headerFooter>
    <oddFooter>&amp;C_x000D_&amp;1#&amp;"Calibri"&amp;6&amp;K000000 Clasificación: Público. Documento Claro Colombia</oddFooter>
  </headerFooter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Normal="100" workbookViewId="0">
      <selection activeCell="C2" sqref="C2"/>
    </sheetView>
  </sheetViews>
  <sheetFormatPr baseColWidth="10" defaultColWidth="14.42578125" defaultRowHeight="12.75" x14ac:dyDescent="0.2"/>
  <cols>
    <col min="1" max="1" width="4.42578125" customWidth="1"/>
    <col min="2" max="2" width="19.7109375" customWidth="1"/>
    <col min="3" max="3" width="15.7109375" customWidth="1"/>
    <col min="4" max="4" width="17.7109375" customWidth="1"/>
    <col min="5" max="5" width="8.7109375" customWidth="1"/>
    <col min="6" max="6" width="10.28515625" customWidth="1"/>
    <col min="7" max="7" width="8.7109375" customWidth="1"/>
    <col min="8" max="8" width="23.140625" customWidth="1"/>
    <col min="9" max="9" width="16.85546875" customWidth="1"/>
    <col min="10" max="10" width="9" customWidth="1"/>
  </cols>
  <sheetData>
    <row r="1" spans="1:10" ht="12.75" customHeight="1" x14ac:dyDescent="0.2">
      <c r="A1" s="24" t="s">
        <v>300</v>
      </c>
      <c r="B1" s="24" t="s">
        <v>301</v>
      </c>
      <c r="C1" s="24" t="s">
        <v>302</v>
      </c>
      <c r="D1" s="24" t="s">
        <v>303</v>
      </c>
      <c r="E1" s="24" t="s">
        <v>304</v>
      </c>
      <c r="F1" s="24" t="s">
        <v>305</v>
      </c>
      <c r="G1" s="24" t="s">
        <v>306</v>
      </c>
      <c r="H1" s="24" t="s">
        <v>307</v>
      </c>
      <c r="I1" s="24" t="s">
        <v>308</v>
      </c>
      <c r="J1" s="25" t="s">
        <v>309</v>
      </c>
    </row>
    <row r="2" spans="1:10" ht="12.75" customHeight="1" x14ac:dyDescent="0.2">
      <c r="A2" s="26">
        <v>1</v>
      </c>
      <c r="B2" s="26" t="s">
        <v>310</v>
      </c>
      <c r="C2" s="26" t="s">
        <v>164</v>
      </c>
      <c r="D2" s="26" t="s">
        <v>311</v>
      </c>
      <c r="E2" s="26" t="s">
        <v>312</v>
      </c>
      <c r="F2" s="26" t="s">
        <v>313</v>
      </c>
      <c r="G2" s="27" t="s">
        <v>312</v>
      </c>
      <c r="H2" s="26"/>
      <c r="I2" s="26"/>
      <c r="J2" s="26" t="s">
        <v>314</v>
      </c>
    </row>
    <row r="3" spans="1:10" ht="12.75" customHeight="1" x14ac:dyDescent="0.2"/>
    <row r="4" spans="1:10" ht="12.75" customHeight="1" x14ac:dyDescent="0.2"/>
    <row r="5" spans="1:10" ht="12.75" customHeight="1" x14ac:dyDescent="0.2"/>
    <row r="6" spans="1:10" ht="12.75" customHeight="1" x14ac:dyDescent="0.2"/>
    <row r="7" spans="1:10" ht="12.75" customHeight="1" x14ac:dyDescent="0.2"/>
    <row r="8" spans="1:10" ht="12.75" customHeight="1" x14ac:dyDescent="0.2"/>
    <row r="9" spans="1:10" ht="12.75" customHeight="1" x14ac:dyDescent="0.2"/>
    <row r="10" spans="1:10" ht="12.75" customHeight="1" x14ac:dyDescent="0.2"/>
    <row r="11" spans="1:10" ht="12.75" customHeight="1" x14ac:dyDescent="0.2"/>
    <row r="12" spans="1:10" ht="12.75" customHeight="1" x14ac:dyDescent="0.2"/>
    <row r="13" spans="1:10" ht="12.75" customHeight="1" x14ac:dyDescent="0.2"/>
    <row r="14" spans="1:10" ht="12.75" customHeight="1" x14ac:dyDescent="0.2"/>
    <row r="15" spans="1:10" ht="12.75" customHeight="1" x14ac:dyDescent="0.2"/>
    <row r="16" spans="1:10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G2">
    <cfRule type="cellIs" dxfId="15" priority="2" operator="equal">
      <formula>"Low"</formula>
    </cfRule>
    <cfRule type="cellIs" dxfId="14" priority="3" operator="equal">
      <formula>"Critical"</formula>
    </cfRule>
    <cfRule type="cellIs" dxfId="13" priority="4" operator="equal">
      <formula>"Note"</formula>
    </cfRule>
    <cfRule type="cellIs" dxfId="12" priority="5" operator="equal">
      <formula>"Moderate"</formula>
    </cfRule>
    <cfRule type="cellIs" dxfId="11" priority="6" operator="equal">
      <formula>"High"</formula>
    </cfRule>
  </conditionalFormatting>
  <pageMargins left="0.7" right="0.7" top="0.75" bottom="0.75" header="0.51180555555555496" footer="0.51180555555555496"/>
  <pageSetup firstPageNumber="0" orientation="landscape" horizontalDpi="300" verticalDpi="300"/>
  <headerFooter>
    <oddFooter>&amp;C_x000D_&amp;1#&amp;"Calibri"&amp;6&amp;K000000 Clasificación: Público.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zoomScaleNormal="100" workbookViewId="0">
      <selection activeCell="B5" sqref="B5:D5"/>
    </sheetView>
  </sheetViews>
  <sheetFormatPr baseColWidth="10" defaultColWidth="14.42578125" defaultRowHeight="12.75" x14ac:dyDescent="0.2"/>
  <cols>
    <col min="1" max="1" width="18.42578125" customWidth="1"/>
    <col min="2" max="4" width="14.7109375" customWidth="1"/>
    <col min="5" max="5" width="5.42578125" customWidth="1"/>
    <col min="6" max="6" width="20.7109375" customWidth="1"/>
    <col min="7" max="7" width="42.7109375" customWidth="1"/>
    <col min="8" max="8" width="3.7109375" customWidth="1"/>
  </cols>
  <sheetData>
    <row r="1" spans="1:8" ht="12.75" customHeight="1" x14ac:dyDescent="0.35">
      <c r="A1" s="45" t="s">
        <v>315</v>
      </c>
      <c r="B1" s="45"/>
      <c r="C1" s="45"/>
      <c r="D1" s="45"/>
      <c r="E1" s="45"/>
      <c r="F1" s="45"/>
      <c r="G1" s="45"/>
    </row>
    <row r="2" spans="1:8" ht="12.75" customHeight="1" x14ac:dyDescent="0.2"/>
    <row r="3" spans="1:8" ht="12.75" customHeight="1" x14ac:dyDescent="0.2">
      <c r="A3" s="46" t="s">
        <v>316</v>
      </c>
      <c r="B3" s="46"/>
      <c r="C3" s="46"/>
      <c r="D3" s="46"/>
      <c r="E3" s="28"/>
      <c r="F3" s="46" t="s">
        <v>317</v>
      </c>
      <c r="G3" s="46"/>
    </row>
    <row r="4" spans="1:8" ht="12.75" customHeight="1" x14ac:dyDescent="0.2">
      <c r="A4" s="47" t="s">
        <v>318</v>
      </c>
      <c r="B4" s="47"/>
      <c r="C4" s="47"/>
      <c r="D4" s="47"/>
      <c r="E4" s="29"/>
      <c r="F4" s="47" t="s">
        <v>319</v>
      </c>
      <c r="G4" s="47"/>
    </row>
    <row r="5" spans="1:8" ht="12.75" customHeight="1" x14ac:dyDescent="0.25">
      <c r="A5" s="30" t="s">
        <v>320</v>
      </c>
      <c r="B5" s="48" t="s">
        <v>321</v>
      </c>
      <c r="C5" s="48"/>
      <c r="D5" s="48"/>
      <c r="E5" s="1">
        <f>VLOOKUP(B5, References!A2:B8,2,0)</f>
        <v>3</v>
      </c>
      <c r="F5" s="30" t="s">
        <v>322</v>
      </c>
      <c r="G5" s="1" t="s">
        <v>323</v>
      </c>
      <c r="H5" s="17">
        <f>VLOOKUP(G5, References!A$11:B$16,2,0)</f>
        <v>2</v>
      </c>
    </row>
    <row r="6" spans="1:8" ht="12.75" customHeight="1" x14ac:dyDescent="0.25">
      <c r="A6" s="30" t="s">
        <v>324</v>
      </c>
      <c r="B6" s="49" t="s">
        <v>325</v>
      </c>
      <c r="C6" s="49"/>
      <c r="D6" s="49"/>
      <c r="E6" s="1">
        <f>VLOOKUP(B6, References!C2:D6,2,0)</f>
        <v>4</v>
      </c>
      <c r="F6" s="30" t="s">
        <v>326</v>
      </c>
      <c r="G6" s="1" t="s">
        <v>327</v>
      </c>
      <c r="H6" s="17">
        <f>VLOOKUP(G6, References!C$11:D$17,2,0)</f>
        <v>9</v>
      </c>
    </row>
    <row r="7" spans="1:8" ht="12.75" customHeight="1" x14ac:dyDescent="0.25">
      <c r="A7" s="30" t="s">
        <v>328</v>
      </c>
      <c r="B7" s="49" t="s">
        <v>329</v>
      </c>
      <c r="C7" s="49"/>
      <c r="D7" s="49"/>
      <c r="E7" s="1">
        <f>VLOOKUP(B7, References!E2:F6,2,0)</f>
        <v>0</v>
      </c>
      <c r="F7" s="30" t="s">
        <v>330</v>
      </c>
      <c r="G7" s="1" t="s">
        <v>331</v>
      </c>
      <c r="H7" s="17">
        <f>VLOOKUP(G7, References!E$11:F$16,2,0)</f>
        <v>1</v>
      </c>
    </row>
    <row r="8" spans="1:8" ht="12.75" customHeight="1" x14ac:dyDescent="0.25">
      <c r="A8" s="30" t="s">
        <v>332</v>
      </c>
      <c r="B8" s="49" t="s">
        <v>333</v>
      </c>
      <c r="C8" s="49"/>
      <c r="D8" s="49"/>
      <c r="E8" s="1">
        <f>VLOOKUP(B8, References!G3:H8,2,0)</f>
        <v>2</v>
      </c>
      <c r="F8" s="30" t="s">
        <v>334</v>
      </c>
      <c r="G8" s="1" t="s">
        <v>335</v>
      </c>
      <c r="H8" s="17">
        <f>VLOOKUP(G8, References!G$11:H$16,2,0)</f>
        <v>0</v>
      </c>
    </row>
    <row r="9" spans="1:8" ht="12.75" customHeight="1" x14ac:dyDescent="0.25">
      <c r="A9" s="30"/>
      <c r="B9" s="1"/>
      <c r="C9" s="1"/>
      <c r="D9" s="1"/>
      <c r="E9" s="1"/>
      <c r="F9" s="30"/>
      <c r="G9" s="1"/>
      <c r="H9" s="17"/>
    </row>
    <row r="10" spans="1:8" ht="12.75" customHeight="1" x14ac:dyDescent="0.2">
      <c r="A10" s="47" t="s">
        <v>336</v>
      </c>
      <c r="B10" s="47"/>
      <c r="C10" s="47"/>
      <c r="D10" s="47"/>
      <c r="E10" s="29"/>
      <c r="F10" s="47" t="s">
        <v>337</v>
      </c>
      <c r="G10" s="47"/>
      <c r="H10" s="29"/>
    </row>
    <row r="11" spans="1:8" ht="12.75" customHeight="1" x14ac:dyDescent="0.25">
      <c r="A11" s="30" t="s">
        <v>338</v>
      </c>
      <c r="B11" s="48" t="s">
        <v>339</v>
      </c>
      <c r="C11" s="48"/>
      <c r="D11" s="48"/>
      <c r="E11" s="1">
        <f>VLOOKUP(B11, References!I2:J7,2,0)</f>
        <v>1</v>
      </c>
      <c r="F11" s="30" t="s">
        <v>340</v>
      </c>
      <c r="G11" s="1" t="s">
        <v>341</v>
      </c>
      <c r="H11" s="17">
        <f>VLOOKUP(G11, References!I$11:J$16,2,0)</f>
        <v>3</v>
      </c>
    </row>
    <row r="12" spans="1:8" ht="12.75" customHeight="1" x14ac:dyDescent="0.25">
      <c r="A12" s="30" t="s">
        <v>342</v>
      </c>
      <c r="B12" s="48" t="s">
        <v>343</v>
      </c>
      <c r="C12" s="48"/>
      <c r="D12" s="48"/>
      <c r="E12" s="1">
        <f>VLOOKUP(B12, References!K$2:L$7,2,0)</f>
        <v>5</v>
      </c>
      <c r="F12" s="30" t="s">
        <v>344</v>
      </c>
      <c r="G12" s="1" t="s">
        <v>345</v>
      </c>
      <c r="H12" s="17">
        <f>VLOOKUP(G12, References!K$11:L$16,2,0)</f>
        <v>4</v>
      </c>
    </row>
    <row r="13" spans="1:8" ht="12.75" customHeight="1" x14ac:dyDescent="0.25">
      <c r="A13" s="30" t="s">
        <v>346</v>
      </c>
      <c r="B13" s="48" t="s">
        <v>347</v>
      </c>
      <c r="C13" s="48"/>
      <c r="D13" s="48"/>
      <c r="E13" s="1">
        <f>VLOOKUP(B13, References!M$2:N$7,2,0)</f>
        <v>4</v>
      </c>
      <c r="F13" s="30" t="s">
        <v>348</v>
      </c>
      <c r="G13" s="1" t="s">
        <v>349</v>
      </c>
      <c r="H13" s="17">
        <f>VLOOKUP(G13, References!M$11:O$16,2,0)</f>
        <v>5</v>
      </c>
    </row>
    <row r="14" spans="1:8" ht="12.75" customHeight="1" x14ac:dyDescent="0.25">
      <c r="A14" s="30" t="s">
        <v>350</v>
      </c>
      <c r="B14" s="48" t="s">
        <v>351</v>
      </c>
      <c r="C14" s="48"/>
      <c r="D14" s="48"/>
      <c r="E14" s="1">
        <f>VLOOKUP(B14, References!O$2:P$7,2,0)</f>
        <v>3</v>
      </c>
      <c r="F14" s="30" t="s">
        <v>352</v>
      </c>
      <c r="G14" s="1" t="s">
        <v>353</v>
      </c>
      <c r="H14" s="17">
        <f>VLOOKUP(G14, References!O$11:P$16,2,0)</f>
        <v>3</v>
      </c>
    </row>
    <row r="15" spans="1:8" ht="12.75" customHeight="1" x14ac:dyDescent="0.25">
      <c r="E15" s="30"/>
    </row>
    <row r="16" spans="1:8" ht="15" customHeight="1" x14ac:dyDescent="0.25">
      <c r="A16" s="51" t="s">
        <v>354</v>
      </c>
      <c r="B16" s="52">
        <f>IFERROR(AVERAGE(E5:E8,E11:E14),"All factors require a selection.")</f>
        <v>2.75</v>
      </c>
      <c r="C16" s="52"/>
      <c r="D16" s="52"/>
      <c r="E16" s="30"/>
      <c r="F16" s="53" t="s">
        <v>355</v>
      </c>
      <c r="G16" s="52">
        <f>IFERROR(AVERAGE(H5:H8,H11:H14),"All factors require a selection.")</f>
        <v>3.375</v>
      </c>
    </row>
    <row r="17" spans="1:7" ht="15" customHeight="1" x14ac:dyDescent="0.2">
      <c r="A17" s="51"/>
      <c r="B17" s="52"/>
      <c r="C17" s="52"/>
      <c r="D17" s="52"/>
      <c r="F17" s="53"/>
      <c r="G17" s="53"/>
    </row>
    <row r="18" spans="1:7" ht="12.75" customHeight="1" x14ac:dyDescent="0.2"/>
    <row r="19" spans="1:7" ht="12.75" customHeight="1" x14ac:dyDescent="0.2"/>
    <row r="20" spans="1:7" ht="12.75" customHeight="1" x14ac:dyDescent="0.3">
      <c r="B20" s="54" t="s">
        <v>356</v>
      </c>
      <c r="C20" s="54"/>
      <c r="D20" s="54"/>
      <c r="E20" s="55" t="str">
        <f>IFERROR(IF(AND($B$16&lt;3,$G$16&lt;3),"Note",IF(OR(AND($B$16&lt;3,$G$16&gt;=3,$G$16&lt;6),AND($B$16&gt;=3,$B$16&lt;6,$G$16&lt;3)),"Low",IF(OR(AND($B16&lt;3,$G16&gt;=6),AND($B16&gt;=3,$B16&lt;6,$G16&gt;=3,$G16&lt;6),AND($B16&gt;=6,$G16&lt;3)),"MODERATE",IF(OR(AND($B16&gt;=6,$B16&gt;=3,$G16&lt;6),AND($B16&gt;=3,$B16&lt;6,$G16&gt;6)),"High","Critical")))),"Note")</f>
        <v>Low</v>
      </c>
      <c r="F20" s="55"/>
      <c r="G20" s="31"/>
    </row>
    <row r="21" spans="1:7" ht="12.75" customHeight="1" x14ac:dyDescent="0.2"/>
    <row r="22" spans="1:7" ht="12.75" customHeight="1" x14ac:dyDescent="0.25">
      <c r="B22" s="50" t="s">
        <v>304</v>
      </c>
      <c r="C22" s="50"/>
      <c r="D22" s="50"/>
    </row>
    <row r="23" spans="1:7" ht="12.75" customHeight="1" x14ac:dyDescent="0.25">
      <c r="A23" s="32" t="s">
        <v>305</v>
      </c>
      <c r="B23" s="31" t="str">
        <f>IF($G16&lt;3,"-&gt;Low&lt;-","Low")</f>
        <v>Low</v>
      </c>
      <c r="C23" s="31" t="str">
        <f>IF(AND($G16&gt;=3,$G16&lt;6),"-&gt;Moderate&lt;-","Moderate")</f>
        <v>-&gt;Moderate&lt;-</v>
      </c>
      <c r="D23" s="31" t="str">
        <f>IF($G16&gt;=6,"-&gt;High&lt;-","High")</f>
        <v>High</v>
      </c>
    </row>
    <row r="24" spans="1:7" ht="12.75" customHeight="1" x14ac:dyDescent="0.2">
      <c r="A24" s="33" t="str">
        <f>IF($B16&lt;3,"-&gt;Low&lt;-","Low")</f>
        <v>-&gt;Low&lt;-</v>
      </c>
      <c r="B24" s="34" t="str">
        <f>IF(AND($B$16&lt;3,$G$16&lt;3),"-&gt;Note&lt;-","Note")</f>
        <v>Note</v>
      </c>
      <c r="C24" s="35" t="str">
        <f>IF(AND($B$16&lt;3,$G$16&gt;=3,$G$16&lt;6),"-&gt;Low&lt;-","Low")</f>
        <v>-&gt;Low&lt;-</v>
      </c>
      <c r="D24" s="36" t="str">
        <f>IF(AND($B16&lt;3,$G16&gt;=6),"-&gt;Moderate&lt;-","Moderate")</f>
        <v>Moderate</v>
      </c>
      <c r="F24" s="37"/>
    </row>
    <row r="25" spans="1:7" ht="12.75" customHeight="1" x14ac:dyDescent="0.2">
      <c r="A25" s="33" t="str">
        <f>IF(AND($B16&gt;=3,$B16&lt;6),"-&gt;Moderate&lt;-","Moderate")</f>
        <v>Moderate</v>
      </c>
      <c r="B25" s="35" t="str">
        <f>IF(AND($B$16&gt;=3,$B$16&lt;6,$G$16&lt;3),"-&gt;Low&lt;-","Low")</f>
        <v>Low</v>
      </c>
      <c r="C25" s="36" t="str">
        <f>IF(AND($B16&gt;=3,$B16&lt;6,$G16&gt;=3,$G16&lt;6),"-&gt;Moderate&lt;-","Moderate")</f>
        <v>Moderate</v>
      </c>
      <c r="D25" s="38" t="str">
        <f>IF(AND($B16&gt;=3,$B16&lt;6,$G16&gt;6),"-&gt;High&lt;-","High")</f>
        <v>High</v>
      </c>
      <c r="F25" s="37"/>
    </row>
    <row r="26" spans="1:7" ht="12.75" customHeight="1" x14ac:dyDescent="0.2">
      <c r="A26" s="33" t="str">
        <f>IF($B16&gt;=6,"-&gt;High&lt;-","High")</f>
        <v>High</v>
      </c>
      <c r="B26" s="36" t="str">
        <f>IF(AND($B16&gt;=6,$G16&lt;3),"-&gt;Moderate&lt;-","Moderate")</f>
        <v>Moderate</v>
      </c>
      <c r="C26" s="38" t="str">
        <f>IF(AND($B16&gt;=6,$B16&gt;=3,$G16&lt;6),"-&gt;High&lt;-","High")</f>
        <v>High</v>
      </c>
      <c r="D26" s="39" t="str">
        <f>IF(AND($B$16&gt;=6,$G$16&gt;=6),"-&gt;Critical&lt;-","Critical")</f>
        <v>Critical</v>
      </c>
    </row>
    <row r="27" spans="1:7" ht="12.75" customHeight="1" x14ac:dyDescent="0.2"/>
    <row r="28" spans="1:7" ht="12.75" customHeight="1" x14ac:dyDescent="0.2"/>
    <row r="29" spans="1:7" ht="12.75" customHeight="1" x14ac:dyDescent="0.2"/>
    <row r="30" spans="1:7" ht="12.75" customHeight="1" x14ac:dyDescent="0.2"/>
    <row r="31" spans="1:7" ht="12.75" customHeight="1" x14ac:dyDescent="0.2"/>
    <row r="32" spans="1:7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2">
    <mergeCell ref="B22:D22"/>
    <mergeCell ref="A16:A17"/>
    <mergeCell ref="B16:D17"/>
    <mergeCell ref="F16:F17"/>
    <mergeCell ref="G16:G17"/>
    <mergeCell ref="B20:D20"/>
    <mergeCell ref="E20:F20"/>
    <mergeCell ref="F10:G10"/>
    <mergeCell ref="B11:D11"/>
    <mergeCell ref="B12:D12"/>
    <mergeCell ref="B13:D13"/>
    <mergeCell ref="B14:D14"/>
    <mergeCell ref="B5:D5"/>
    <mergeCell ref="B6:D6"/>
    <mergeCell ref="B7:D7"/>
    <mergeCell ref="B8:D8"/>
    <mergeCell ref="A10:D10"/>
    <mergeCell ref="A1:G1"/>
    <mergeCell ref="A3:D3"/>
    <mergeCell ref="F3:G3"/>
    <mergeCell ref="A4:D4"/>
    <mergeCell ref="F4:G4"/>
  </mergeCells>
  <conditionalFormatting sqref="B26">
    <cfRule type="containsText" dxfId="10" priority="12" operator="containsText" text="&lt;">
      <formula>NOT(ISERROR(SEARCH("&lt;",B26)))</formula>
    </cfRule>
  </conditionalFormatting>
  <conditionalFormatting sqref="B23:D26 A24:A26">
    <cfRule type="containsText" dxfId="9" priority="7" operator="containsText" text="&lt;">
      <formula>NOT(ISERROR(SEARCH("&lt;",A23)))</formula>
    </cfRule>
  </conditionalFormatting>
  <conditionalFormatting sqref="C25:C26">
    <cfRule type="containsText" dxfId="8" priority="9" operator="containsText" text="&lt;">
      <formula>NOT(ISERROR(SEARCH("&lt;",C25)))</formula>
    </cfRule>
  </conditionalFormatting>
  <conditionalFormatting sqref="D25">
    <cfRule type="containsText" dxfId="7" priority="10" operator="containsText" text="&lt;">
      <formula>NOT(ISERROR(SEARCH("&lt;",D25)))</formula>
    </cfRule>
  </conditionalFormatting>
  <conditionalFormatting sqref="E20:F20">
    <cfRule type="containsText" dxfId="6" priority="2" operator="containsText" text="critical">
      <formula>NOT(ISERROR(SEARCH("critical",E20)))</formula>
    </cfRule>
    <cfRule type="containsText" dxfId="5" priority="3" operator="containsText" text="high">
      <formula>NOT(ISERROR(SEARCH("high",E20)))</formula>
    </cfRule>
    <cfRule type="containsText" dxfId="4" priority="4" operator="containsText" text="moderate">
      <formula>NOT(ISERROR(SEARCH("moderate",E20)))</formula>
    </cfRule>
    <cfRule type="containsText" dxfId="3" priority="5" operator="containsText" text="low">
      <formula>NOT(ISERROR(SEARCH("low",E20)))</formula>
    </cfRule>
    <cfRule type="containsText" dxfId="2" priority="6" operator="containsText" text="Note">
      <formula>NOT(ISERROR(SEARCH("Note",E20)))</formula>
    </cfRule>
  </conditionalFormatting>
  <dataValidations count="16">
    <dataValidation type="list" allowBlank="1" showErrorMessage="1" sqref="G12" xr:uid="{00000000-0002-0000-0200-000000000000}">
      <formula1>ReputationDamage</formula1>
      <formula2>0</formula2>
    </dataValidation>
    <dataValidation type="list" allowBlank="1" showErrorMessage="1" sqref="G8:G9" xr:uid="{00000000-0002-0000-0200-000001000000}">
      <formula1>LossofAccountability</formula1>
      <formula2>0</formula2>
    </dataValidation>
    <dataValidation type="list" allowBlank="1" showErrorMessage="1" sqref="B7" xr:uid="{00000000-0002-0000-0200-000002000000}">
      <formula1>Opportunity</formula1>
      <formula2>0</formula2>
    </dataValidation>
    <dataValidation type="list" allowBlank="1" showErrorMessage="1" sqref="G14" xr:uid="{00000000-0002-0000-0200-000003000000}">
      <formula1>PolicyViolation</formula1>
      <formula2>0</formula2>
    </dataValidation>
    <dataValidation type="list" allowBlank="1" showErrorMessage="1" sqref="B6" xr:uid="{00000000-0002-0000-0200-000004000000}">
      <formula1>Motive</formula1>
      <formula2>0</formula2>
    </dataValidation>
    <dataValidation type="list" allowBlank="1" showErrorMessage="1" sqref="B14" xr:uid="{00000000-0002-0000-0200-000005000000}">
      <formula1>IntrusionDetection</formula1>
      <formula2>0</formula2>
    </dataValidation>
    <dataValidation type="list" allowBlank="1" showErrorMessage="1" sqref="B11" xr:uid="{00000000-0002-0000-0200-000006000000}">
      <formula1>EasyofDiscovery</formula1>
      <formula2>0</formula2>
    </dataValidation>
    <dataValidation type="list" allowBlank="1" showErrorMessage="1" sqref="G13" xr:uid="{00000000-0002-0000-0200-000007000000}">
      <formula1>NonCompliance</formula1>
      <formula2>0</formula2>
    </dataValidation>
    <dataValidation type="list" allowBlank="1" showErrorMessage="1" sqref="G5" xr:uid="{00000000-0002-0000-0200-000008000000}">
      <formula1>LossofConfidentiality</formula1>
      <formula2>0</formula2>
    </dataValidation>
    <dataValidation type="list" allowBlank="1" showErrorMessage="1" sqref="G7" xr:uid="{00000000-0002-0000-0200-000009000000}">
      <formula1>LossofAvailability</formula1>
      <formula2>0</formula2>
    </dataValidation>
    <dataValidation type="list" allowBlank="1" showErrorMessage="1" sqref="B13" xr:uid="{00000000-0002-0000-0200-00000A000000}">
      <formula1>Awareness</formula1>
      <formula2>0</formula2>
    </dataValidation>
    <dataValidation type="list" allowBlank="1" showErrorMessage="1" sqref="B8 B9:D9" xr:uid="{00000000-0002-0000-0200-00000B000000}">
      <formula1>PopulationSize</formula1>
      <formula2>0</formula2>
    </dataValidation>
    <dataValidation type="list" allowBlank="1" showErrorMessage="1" sqref="G11" xr:uid="{00000000-0002-0000-0200-00000C000000}">
      <formula1>FinancialDamage</formula1>
      <formula2>0</formula2>
    </dataValidation>
    <dataValidation type="list" allowBlank="1" showErrorMessage="1" sqref="B12" xr:uid="{00000000-0002-0000-0200-00000D000000}">
      <formula1>EaseofExploit</formula1>
      <formula2>0</formula2>
    </dataValidation>
    <dataValidation type="list" allowBlank="1" showErrorMessage="1" sqref="B5" xr:uid="{00000000-0002-0000-0200-00000E000000}">
      <formula1>SkillRequired</formula1>
      <formula2>0</formula2>
    </dataValidation>
    <dataValidation type="list" allowBlank="1" showErrorMessage="1" sqref="G6" xr:uid="{00000000-0002-0000-0200-00000F000000}">
      <formula1>LossofIntegrity</formula1>
      <formula2>0</formula2>
    </dataValidation>
  </dataValidations>
  <pageMargins left="0.75" right="0.75" top="1" bottom="1" header="0.51180555555555496" footer="0.51180555555555496"/>
  <pageSetup paperSize="9" firstPageNumber="0" orientation="portrait" horizontalDpi="300" verticalDpi="300"/>
  <headerFooter>
    <oddFooter>&amp;C_x000D_&amp;1#&amp;"Calibri"&amp;6&amp;K000000 Clasificación: Público. Documento Claro Colombia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zoomScaleNormal="100" workbookViewId="0">
      <selection activeCell="F15" sqref="F15"/>
    </sheetView>
  </sheetViews>
  <sheetFormatPr baseColWidth="10" defaultColWidth="14.42578125" defaultRowHeight="12.75" x14ac:dyDescent="0.2"/>
  <cols>
    <col min="1" max="1" width="39" customWidth="1"/>
    <col min="2" max="2" width="2" customWidth="1"/>
    <col min="3" max="3" width="32.7109375" customWidth="1"/>
    <col min="4" max="4" width="2" customWidth="1"/>
    <col min="5" max="5" width="43.28515625" customWidth="1"/>
    <col min="6" max="6" width="2" customWidth="1"/>
    <col min="7" max="7" width="38.42578125" customWidth="1"/>
    <col min="8" max="8" width="2" customWidth="1"/>
    <col min="9" max="9" width="38.42578125" customWidth="1"/>
    <col min="10" max="10" width="2" customWidth="1"/>
    <col min="11" max="11" width="27.7109375" customWidth="1"/>
    <col min="12" max="12" width="2" customWidth="1"/>
    <col min="13" max="13" width="23" customWidth="1"/>
    <col min="14" max="14" width="2" customWidth="1"/>
    <col min="15" max="15" width="31.42578125" customWidth="1"/>
    <col min="16" max="16" width="2" customWidth="1"/>
  </cols>
  <sheetData>
    <row r="1" spans="1:16" ht="12.75" customHeight="1" x14ac:dyDescent="0.2">
      <c r="A1" s="40" t="s">
        <v>320</v>
      </c>
      <c r="B1" s="17"/>
      <c r="C1" s="40" t="s">
        <v>324</v>
      </c>
      <c r="D1" s="17"/>
      <c r="E1" s="40" t="s">
        <v>328</v>
      </c>
      <c r="F1" s="17"/>
      <c r="G1" s="40" t="s">
        <v>332</v>
      </c>
      <c r="H1" s="17"/>
      <c r="I1" s="40" t="s">
        <v>338</v>
      </c>
      <c r="J1" s="17"/>
      <c r="K1" s="40" t="s">
        <v>342</v>
      </c>
      <c r="L1" s="17"/>
      <c r="M1" s="40" t="s">
        <v>346</v>
      </c>
      <c r="N1" s="17"/>
      <c r="O1" s="40" t="s">
        <v>350</v>
      </c>
      <c r="P1" s="17"/>
    </row>
    <row r="2" spans="1:16" ht="12.75" customHeight="1" x14ac:dyDescent="0.2">
      <c r="A2" s="17" t="s">
        <v>357</v>
      </c>
      <c r="B2" s="17" t="s">
        <v>358</v>
      </c>
      <c r="C2" s="17" t="s">
        <v>357</v>
      </c>
      <c r="D2" s="17" t="s">
        <v>358</v>
      </c>
      <c r="E2" s="17" t="s">
        <v>357</v>
      </c>
      <c r="F2" s="17" t="s">
        <v>358</v>
      </c>
      <c r="G2" s="17" t="s">
        <v>357</v>
      </c>
      <c r="H2" s="17" t="s">
        <v>358</v>
      </c>
      <c r="I2" s="17" t="s">
        <v>357</v>
      </c>
      <c r="J2" s="17" t="s">
        <v>358</v>
      </c>
      <c r="K2" s="17" t="s">
        <v>357</v>
      </c>
      <c r="L2" s="17" t="s">
        <v>358</v>
      </c>
      <c r="M2" s="17" t="s">
        <v>357</v>
      </c>
      <c r="N2" s="17" t="s">
        <v>358</v>
      </c>
      <c r="O2" s="17" t="s">
        <v>357</v>
      </c>
      <c r="P2" s="17" t="s">
        <v>358</v>
      </c>
    </row>
    <row r="3" spans="1:16" ht="12.75" customHeight="1" x14ac:dyDescent="0.2">
      <c r="A3" s="17" t="s">
        <v>335</v>
      </c>
      <c r="B3" s="17">
        <v>0</v>
      </c>
      <c r="C3" s="17" t="s">
        <v>335</v>
      </c>
      <c r="D3" s="17">
        <v>0</v>
      </c>
      <c r="E3" s="17" t="s">
        <v>329</v>
      </c>
      <c r="F3" s="17">
        <v>0</v>
      </c>
      <c r="G3" s="17" t="s">
        <v>335</v>
      </c>
      <c r="H3" s="17">
        <v>0</v>
      </c>
      <c r="I3" s="17" t="s">
        <v>335</v>
      </c>
      <c r="J3" s="17">
        <v>0</v>
      </c>
      <c r="K3" s="17" t="s">
        <v>335</v>
      </c>
      <c r="L3" s="17">
        <v>0</v>
      </c>
      <c r="M3" s="17" t="s">
        <v>335</v>
      </c>
      <c r="N3" s="17">
        <v>0</v>
      </c>
      <c r="O3" s="17" t="s">
        <v>335</v>
      </c>
      <c r="P3" s="17">
        <v>0</v>
      </c>
    </row>
    <row r="4" spans="1:16" ht="12.75" customHeight="1" x14ac:dyDescent="0.2">
      <c r="A4" s="17" t="s">
        <v>359</v>
      </c>
      <c r="B4" s="17">
        <v>1</v>
      </c>
      <c r="C4" s="17" t="s">
        <v>360</v>
      </c>
      <c r="D4" s="17">
        <v>1</v>
      </c>
      <c r="E4" s="17" t="s">
        <v>361</v>
      </c>
      <c r="F4" s="17">
        <v>4</v>
      </c>
      <c r="G4" s="17" t="s">
        <v>333</v>
      </c>
      <c r="H4" s="17">
        <v>2</v>
      </c>
      <c r="I4" s="17" t="s">
        <v>339</v>
      </c>
      <c r="J4" s="17">
        <v>1</v>
      </c>
      <c r="K4" s="17" t="s">
        <v>362</v>
      </c>
      <c r="L4" s="17">
        <v>1</v>
      </c>
      <c r="M4" s="17" t="s">
        <v>363</v>
      </c>
      <c r="N4" s="17">
        <v>1</v>
      </c>
      <c r="O4" s="17" t="s">
        <v>364</v>
      </c>
      <c r="P4" s="17">
        <v>1</v>
      </c>
    </row>
    <row r="5" spans="1:16" ht="12.75" customHeight="1" x14ac:dyDescent="0.2">
      <c r="A5" s="17" t="s">
        <v>321</v>
      </c>
      <c r="B5" s="17">
        <v>3</v>
      </c>
      <c r="C5" s="17" t="s">
        <v>325</v>
      </c>
      <c r="D5" s="17">
        <v>4</v>
      </c>
      <c r="E5" s="17" t="s">
        <v>365</v>
      </c>
      <c r="F5" s="17">
        <v>7</v>
      </c>
      <c r="G5" s="17" t="s">
        <v>366</v>
      </c>
      <c r="H5" s="17">
        <v>4</v>
      </c>
      <c r="I5" s="17" t="s">
        <v>367</v>
      </c>
      <c r="J5" s="17">
        <v>3</v>
      </c>
      <c r="K5" s="17" t="s">
        <v>367</v>
      </c>
      <c r="L5" s="17">
        <v>3</v>
      </c>
      <c r="M5" s="17" t="s">
        <v>347</v>
      </c>
      <c r="N5" s="17">
        <v>4</v>
      </c>
      <c r="O5" s="17" t="s">
        <v>351</v>
      </c>
      <c r="P5" s="17">
        <v>3</v>
      </c>
    </row>
    <row r="6" spans="1:16" ht="12.75" customHeight="1" x14ac:dyDescent="0.2">
      <c r="A6" s="17" t="s">
        <v>368</v>
      </c>
      <c r="B6" s="17">
        <v>5</v>
      </c>
      <c r="C6" s="17" t="s">
        <v>369</v>
      </c>
      <c r="D6" s="17">
        <v>9</v>
      </c>
      <c r="E6" s="17" t="s">
        <v>370</v>
      </c>
      <c r="F6" s="17">
        <v>9</v>
      </c>
      <c r="G6" s="17" t="s">
        <v>371</v>
      </c>
      <c r="H6" s="17">
        <v>5</v>
      </c>
      <c r="I6" s="17" t="s">
        <v>372</v>
      </c>
      <c r="J6" s="17">
        <v>7</v>
      </c>
      <c r="K6" s="17" t="s">
        <v>343</v>
      </c>
      <c r="L6" s="17">
        <v>5</v>
      </c>
      <c r="M6" s="17" t="s">
        <v>373</v>
      </c>
      <c r="N6" s="17">
        <v>6</v>
      </c>
      <c r="O6" s="17" t="s">
        <v>374</v>
      </c>
      <c r="P6" s="17">
        <v>8</v>
      </c>
    </row>
    <row r="7" spans="1:16" ht="12.75" customHeight="1" x14ac:dyDescent="0.2">
      <c r="A7" s="17" t="s">
        <v>375</v>
      </c>
      <c r="B7" s="17">
        <v>6</v>
      </c>
      <c r="C7" s="17"/>
      <c r="D7" s="17"/>
      <c r="E7" s="17"/>
      <c r="F7" s="17"/>
      <c r="G7" s="17" t="s">
        <v>376</v>
      </c>
      <c r="H7" s="17">
        <v>6</v>
      </c>
      <c r="I7" s="17" t="s">
        <v>377</v>
      </c>
      <c r="J7" s="17">
        <v>9</v>
      </c>
      <c r="K7" s="17" t="s">
        <v>377</v>
      </c>
      <c r="L7" s="17">
        <v>9</v>
      </c>
      <c r="M7" s="17" t="s">
        <v>378</v>
      </c>
      <c r="N7" s="17">
        <v>9</v>
      </c>
      <c r="O7" s="17" t="s">
        <v>379</v>
      </c>
      <c r="P7" s="17">
        <v>9</v>
      </c>
    </row>
    <row r="8" spans="1:16" ht="12.75" customHeight="1" x14ac:dyDescent="0.2">
      <c r="A8" s="17" t="s">
        <v>380</v>
      </c>
      <c r="B8" s="17">
        <v>9</v>
      </c>
      <c r="C8" s="17"/>
      <c r="D8" s="17"/>
      <c r="E8" s="17"/>
      <c r="F8" s="17"/>
      <c r="G8" s="17" t="s">
        <v>381</v>
      </c>
      <c r="H8" s="17">
        <v>9</v>
      </c>
      <c r="I8" s="17"/>
      <c r="J8" s="17"/>
      <c r="K8" s="17"/>
      <c r="L8" s="17"/>
      <c r="M8" s="17"/>
      <c r="N8" s="17"/>
      <c r="O8" s="17"/>
      <c r="P8" s="17"/>
    </row>
    <row r="9" spans="1:16" ht="12.75" customHeight="1" x14ac:dyDescent="0.2"/>
    <row r="10" spans="1:16" ht="12.75" customHeight="1" x14ac:dyDescent="0.25">
      <c r="A10" s="40" t="s">
        <v>322</v>
      </c>
      <c r="B10" s="40"/>
      <c r="C10" s="40" t="s">
        <v>326</v>
      </c>
      <c r="D10" s="40"/>
      <c r="E10" s="40" t="s">
        <v>330</v>
      </c>
      <c r="F10" s="40"/>
      <c r="G10" s="40" t="s">
        <v>334</v>
      </c>
      <c r="H10" s="40"/>
      <c r="I10" s="40" t="s">
        <v>340</v>
      </c>
      <c r="J10" s="40"/>
      <c r="K10" s="40" t="s">
        <v>344</v>
      </c>
      <c r="L10" s="40"/>
      <c r="M10" s="40" t="s">
        <v>348</v>
      </c>
      <c r="N10" s="40"/>
      <c r="O10" s="40" t="s">
        <v>352</v>
      </c>
      <c r="P10" s="32"/>
    </row>
    <row r="11" spans="1:16" ht="12.75" customHeight="1" x14ac:dyDescent="0.2">
      <c r="A11" s="17" t="s">
        <v>357</v>
      </c>
      <c r="B11" s="17" t="s">
        <v>358</v>
      </c>
      <c r="C11" s="17" t="s">
        <v>357</v>
      </c>
      <c r="D11" s="17" t="s">
        <v>358</v>
      </c>
      <c r="E11" s="17" t="s">
        <v>357</v>
      </c>
      <c r="F11" s="17" t="s">
        <v>358</v>
      </c>
      <c r="G11" s="17" t="s">
        <v>357</v>
      </c>
      <c r="H11" s="17" t="s">
        <v>358</v>
      </c>
      <c r="I11" s="17" t="s">
        <v>357</v>
      </c>
      <c r="J11" s="17" t="s">
        <v>358</v>
      </c>
      <c r="K11" s="17" t="s">
        <v>357</v>
      </c>
      <c r="L11" s="17" t="s">
        <v>358</v>
      </c>
      <c r="M11" s="17" t="s">
        <v>357</v>
      </c>
      <c r="N11" s="17" t="s">
        <v>358</v>
      </c>
      <c r="O11" s="17" t="s">
        <v>357</v>
      </c>
      <c r="P11" s="17" t="s">
        <v>358</v>
      </c>
    </row>
    <row r="12" spans="1:16" ht="12.75" customHeight="1" x14ac:dyDescent="0.2">
      <c r="A12" s="17" t="s">
        <v>335</v>
      </c>
      <c r="B12" s="17">
        <v>0</v>
      </c>
      <c r="C12" s="17" t="s">
        <v>335</v>
      </c>
      <c r="D12" s="17">
        <v>0</v>
      </c>
      <c r="E12" s="17" t="s">
        <v>335</v>
      </c>
      <c r="F12" s="17">
        <v>0</v>
      </c>
      <c r="G12" s="17" t="s">
        <v>335</v>
      </c>
      <c r="H12" s="17">
        <v>0</v>
      </c>
      <c r="I12" s="17" t="s">
        <v>335</v>
      </c>
      <c r="J12" s="17">
        <v>0</v>
      </c>
      <c r="K12" s="17" t="s">
        <v>335</v>
      </c>
      <c r="L12" s="17">
        <v>0</v>
      </c>
      <c r="M12" s="17" t="s">
        <v>335</v>
      </c>
      <c r="N12" s="17">
        <v>0</v>
      </c>
      <c r="O12" s="17" t="s">
        <v>335</v>
      </c>
      <c r="P12" s="17">
        <v>0</v>
      </c>
    </row>
    <row r="13" spans="1:16" ht="12.75" customHeight="1" x14ac:dyDescent="0.25">
      <c r="A13" s="17" t="s">
        <v>323</v>
      </c>
      <c r="B13" s="17">
        <v>2</v>
      </c>
      <c r="C13" s="17" t="s">
        <v>382</v>
      </c>
      <c r="D13" s="17">
        <v>1</v>
      </c>
      <c r="E13" s="17" t="s">
        <v>331</v>
      </c>
      <c r="F13" s="17">
        <v>1</v>
      </c>
      <c r="G13" s="17" t="s">
        <v>383</v>
      </c>
      <c r="H13" s="17">
        <v>1</v>
      </c>
      <c r="I13" s="17" t="s">
        <v>384</v>
      </c>
      <c r="J13" s="17">
        <v>1</v>
      </c>
      <c r="K13" s="17" t="s">
        <v>385</v>
      </c>
      <c r="L13" s="17">
        <v>1</v>
      </c>
      <c r="M13" s="17" t="s">
        <v>386</v>
      </c>
      <c r="N13" s="17">
        <v>2</v>
      </c>
      <c r="O13" s="17" t="s">
        <v>353</v>
      </c>
      <c r="P13" s="30">
        <v>3</v>
      </c>
    </row>
    <row r="14" spans="1:16" ht="12.75" customHeight="1" x14ac:dyDescent="0.25">
      <c r="A14" s="17" t="s">
        <v>387</v>
      </c>
      <c r="B14" s="17">
        <v>6</v>
      </c>
      <c r="C14" s="17" t="s">
        <v>388</v>
      </c>
      <c r="D14" s="17">
        <v>3</v>
      </c>
      <c r="E14" s="17" t="s">
        <v>389</v>
      </c>
      <c r="F14" s="17">
        <v>5</v>
      </c>
      <c r="G14" s="17" t="s">
        <v>390</v>
      </c>
      <c r="H14" s="17">
        <v>7</v>
      </c>
      <c r="I14" s="17" t="s">
        <v>341</v>
      </c>
      <c r="J14" s="17">
        <v>3</v>
      </c>
      <c r="K14" s="17" t="s">
        <v>345</v>
      </c>
      <c r="L14" s="17">
        <v>4</v>
      </c>
      <c r="M14" s="17" t="s">
        <v>349</v>
      </c>
      <c r="N14" s="17">
        <v>5</v>
      </c>
      <c r="O14" s="17" t="s">
        <v>391</v>
      </c>
      <c r="P14" s="30">
        <v>5</v>
      </c>
    </row>
    <row r="15" spans="1:16" ht="12.75" customHeight="1" x14ac:dyDescent="0.25">
      <c r="A15" s="17" t="s">
        <v>392</v>
      </c>
      <c r="B15" s="17">
        <v>7</v>
      </c>
      <c r="C15" s="17" t="s">
        <v>393</v>
      </c>
      <c r="D15" s="17">
        <v>5</v>
      </c>
      <c r="E15" s="17" t="s">
        <v>394</v>
      </c>
      <c r="F15" s="17">
        <v>7</v>
      </c>
      <c r="G15" s="17" t="s">
        <v>395</v>
      </c>
      <c r="H15" s="17">
        <v>9</v>
      </c>
      <c r="I15" s="17" t="s">
        <v>396</v>
      </c>
      <c r="J15" s="17">
        <v>7</v>
      </c>
      <c r="K15" s="17" t="s">
        <v>397</v>
      </c>
      <c r="L15" s="17">
        <v>5</v>
      </c>
      <c r="M15" s="17" t="s">
        <v>398</v>
      </c>
      <c r="N15" s="17">
        <v>7</v>
      </c>
      <c r="O15" s="17" t="s">
        <v>399</v>
      </c>
      <c r="P15" s="30">
        <v>7</v>
      </c>
    </row>
    <row r="16" spans="1:16" ht="12.75" customHeight="1" x14ac:dyDescent="0.25">
      <c r="A16" s="17" t="s">
        <v>400</v>
      </c>
      <c r="B16" s="17">
        <v>9</v>
      </c>
      <c r="C16" s="17" t="s">
        <v>401</v>
      </c>
      <c r="D16" s="17">
        <v>7</v>
      </c>
      <c r="E16" s="17" t="s">
        <v>402</v>
      </c>
      <c r="F16" s="17">
        <v>9</v>
      </c>
      <c r="G16" s="17"/>
      <c r="H16" s="17"/>
      <c r="I16" s="17" t="s">
        <v>403</v>
      </c>
      <c r="J16" s="17">
        <v>9</v>
      </c>
      <c r="K16" s="17" t="s">
        <v>404</v>
      </c>
      <c r="L16" s="17">
        <v>9</v>
      </c>
      <c r="M16" s="17"/>
      <c r="N16" s="17"/>
      <c r="O16" s="17" t="s">
        <v>405</v>
      </c>
      <c r="P16" s="30">
        <v>9</v>
      </c>
    </row>
    <row r="17" spans="1:15" ht="12.75" customHeight="1" x14ac:dyDescent="0.2">
      <c r="A17" s="17"/>
      <c r="B17" s="17"/>
      <c r="C17" s="17" t="s">
        <v>327</v>
      </c>
      <c r="D17" s="17">
        <v>9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pans="1:15" ht="12.75" customHeight="1" x14ac:dyDescent="0.2"/>
    <row r="19" spans="1:15" ht="12.75" customHeight="1" x14ac:dyDescent="0.2"/>
    <row r="20" spans="1:15" ht="12.75" customHeight="1" x14ac:dyDescent="0.2"/>
    <row r="21" spans="1:15" ht="12.75" customHeight="1" x14ac:dyDescent="0.2"/>
    <row r="22" spans="1:15" ht="12.75" customHeight="1" x14ac:dyDescent="0.2"/>
    <row r="23" spans="1:15" ht="12.75" customHeight="1" x14ac:dyDescent="0.2"/>
    <row r="24" spans="1:15" ht="12.75" customHeight="1" x14ac:dyDescent="0.2"/>
    <row r="25" spans="1:15" ht="12.75" customHeight="1" x14ac:dyDescent="0.2"/>
    <row r="26" spans="1:15" ht="12.75" customHeight="1" x14ac:dyDescent="0.2"/>
    <row r="27" spans="1:15" ht="12.75" customHeight="1" x14ac:dyDescent="0.2"/>
    <row r="28" spans="1:15" ht="12.75" customHeight="1" x14ac:dyDescent="0.2"/>
    <row r="29" spans="1:15" ht="12.75" customHeight="1" x14ac:dyDescent="0.2"/>
    <row r="30" spans="1:15" ht="12.75" customHeight="1" x14ac:dyDescent="0.2"/>
    <row r="31" spans="1:15" ht="12.75" customHeight="1" x14ac:dyDescent="0.2"/>
    <row r="32" spans="1:15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0555555555496" footer="0.51180555555555496"/>
  <pageSetup firstPageNumber="0" orientation="landscape" horizontalDpi="300" verticalDpi="300"/>
  <headerFooter>
    <oddFooter>&amp;C_x000D_&amp;1#&amp;"Calibri"&amp;6&amp;K000000 Clasificación: Público.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60E3DD-7D2E-4126-A75A-A99448A35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17</vt:i4>
      </vt:variant>
    </vt:vector>
  </HeadingPairs>
  <TitlesOfParts>
    <vt:vector size="21" baseType="lpstr">
      <vt:lpstr>Lista de Pruebas</vt:lpstr>
      <vt:lpstr> Resumen de hallazgos</vt:lpstr>
      <vt:lpstr> Calculadora de evaluación de r</vt:lpstr>
      <vt:lpstr>References</vt:lpstr>
      <vt:lpstr>Awareness</vt:lpstr>
      <vt:lpstr>EaseofExploit</vt:lpstr>
      <vt:lpstr>EasyofDiscovery</vt:lpstr>
      <vt:lpstr>FinancialDamage</vt:lpstr>
      <vt:lpstr>IntrusionDetection</vt:lpstr>
      <vt:lpstr>LossofAccountability</vt:lpstr>
      <vt:lpstr>LossofAvailability</vt:lpstr>
      <vt:lpstr>LossofConfidentiality</vt:lpstr>
      <vt:lpstr>LossofIntegrity</vt:lpstr>
      <vt:lpstr>Motive</vt:lpstr>
      <vt:lpstr>NonCompliance</vt:lpstr>
      <vt:lpstr>Opportunity</vt:lpstr>
      <vt:lpstr>PolicyViolation</vt:lpstr>
      <vt:lpstr>PopulationSize</vt:lpstr>
      <vt:lpstr>ReputationDamage</vt:lpstr>
      <vt:lpstr>result</vt:lpstr>
      <vt:lpstr>SkillRequired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Uriel Tobar Rios</cp:lastModifiedBy>
  <cp:revision>3</cp:revision>
  <dcterms:created xsi:type="dcterms:W3CDTF">2022-04-09T15:22:01Z</dcterms:created>
  <dcterms:modified xsi:type="dcterms:W3CDTF">2025-06-06T18:44:30Z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f3211a-50d3-4d3d-9bd5-95eec6b4d0b3_Enabled">
    <vt:lpwstr>true</vt:lpwstr>
  </property>
  <property fmtid="{D5CDD505-2E9C-101B-9397-08002B2CF9AE}" pid="3" name="MSIP_Label_08f3211a-50d3-4d3d-9bd5-95eec6b4d0b3_SetDate">
    <vt:lpwstr>2025-06-06T14:12:47Z</vt:lpwstr>
  </property>
  <property fmtid="{D5CDD505-2E9C-101B-9397-08002B2CF9AE}" pid="4" name="MSIP_Label_08f3211a-50d3-4d3d-9bd5-95eec6b4d0b3_Method">
    <vt:lpwstr>Privileged</vt:lpwstr>
  </property>
  <property fmtid="{D5CDD505-2E9C-101B-9397-08002B2CF9AE}" pid="5" name="MSIP_Label_08f3211a-50d3-4d3d-9bd5-95eec6b4d0b3_Name">
    <vt:lpwstr>General</vt:lpwstr>
  </property>
  <property fmtid="{D5CDD505-2E9C-101B-9397-08002B2CF9AE}" pid="6" name="MSIP_Label_08f3211a-50d3-4d3d-9bd5-95eec6b4d0b3_SiteId">
    <vt:lpwstr>46bb22b8-4c2c-40ff-8360-7b6334821279</vt:lpwstr>
  </property>
  <property fmtid="{D5CDD505-2E9C-101B-9397-08002B2CF9AE}" pid="7" name="MSIP_Label_08f3211a-50d3-4d3d-9bd5-95eec6b4d0b3_ActionId">
    <vt:lpwstr>a2790f8d-3450-4e93-9ee9-c70a0fb931e0</vt:lpwstr>
  </property>
  <property fmtid="{D5CDD505-2E9C-101B-9397-08002B2CF9AE}" pid="8" name="MSIP_Label_08f3211a-50d3-4d3d-9bd5-95eec6b4d0b3_ContentBits">
    <vt:lpwstr>2</vt:lpwstr>
  </property>
  <property fmtid="{D5CDD505-2E9C-101B-9397-08002B2CF9AE}" pid="9" name="MSIP_Label_08f3211a-50d3-4d3d-9bd5-95eec6b4d0b3_Tag">
    <vt:lpwstr>10, 0, 1, 1</vt:lpwstr>
  </property>
</Properties>
</file>